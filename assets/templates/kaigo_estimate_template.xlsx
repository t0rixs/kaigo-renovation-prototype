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hidePivotFieldList="1" defaultThemeVersion="124226"/>
  <mc:AlternateContent xmlns:mc="http://schemas.openxmlformats.org/markup-compatibility/2006">
    <mc:Choice Requires="x15">
      <x15ac:absPath xmlns:x15ac="http://schemas.microsoft.com/office/spreadsheetml/2010/11/ac" url="G:\共有ドライブ\住宅改修\"/>
    </mc:Choice>
  </mc:AlternateContent>
  <xr:revisionPtr revIDLastSave="0" documentId="13_ncr:1_{A69BD7F8-8AFC-4D14-9A95-E36EED5D2CC9}" xr6:coauthVersionLast="47" xr6:coauthVersionMax="47" xr10:uidLastSave="{00000000-0000-0000-0000-000000000000}"/>
  <bookViews>
    <workbookView xWindow="-110" yWindow="-110" windowWidth="19420" windowHeight="10300" xr2:uid="{00000000-000D-0000-FFFF-FFFF00000000}"/>
  </bookViews>
  <sheets>
    <sheet name="基本情報" sheetId="9" r:id="rId1"/>
    <sheet name="原価" sheetId="11" r:id="rId2"/>
    <sheet name="原価内訳書" sheetId="6" r:id="rId3"/>
    <sheet name="商品リスト" sheetId="26" r:id="rId4"/>
    <sheet name="お客様提示用見積書表紙" sheetId="13" r:id="rId5"/>
    <sheet name="お客様提示用内訳書" sheetId="8" r:id="rId6"/>
    <sheet name="写真貼付台紙" sheetId="14" r:id="rId7"/>
    <sheet name="申請用図面" sheetId="28" r:id="rId8"/>
    <sheet name="支給申請書" sheetId="16" r:id="rId9"/>
    <sheet name="完了届出書（受領委任用)" sheetId="24" r:id="rId10"/>
    <sheet name="同意書" sheetId="18" r:id="rId11"/>
    <sheet name="承諾書" sheetId="19" r:id="rId12"/>
    <sheet name="理由書1" sheetId="25" r:id="rId13"/>
    <sheet name="理由書2" sheetId="21" r:id="rId14"/>
    <sheet name="Sheet1" sheetId="27" r:id="rId15"/>
  </sheets>
  <externalReferences>
    <externalReference r:id="rId16"/>
  </externalReferences>
  <definedNames>
    <definedName name="_xlnm.Print_Area" localSheetId="4">お客様提示用見積書表紙!$A$1:$N$39</definedName>
    <definedName name="_xlnm.Print_Area" localSheetId="5">お客様提示用内訳書!$A$1:$N$50</definedName>
    <definedName name="_xlnm.Print_Area" localSheetId="9">'完了届出書（受領委任用)'!$B$1:$AB$46</definedName>
    <definedName name="_xlnm.Print_Area" localSheetId="1">原価!$A$1:$L$20</definedName>
    <definedName name="_xlnm.Print_Area" localSheetId="2">原価内訳書!$A$1:$N$88</definedName>
    <definedName name="_xlnm.Print_Area" localSheetId="8">支給申請書!$B$1:$AA$40</definedName>
    <definedName name="_xlnm.Print_Area" localSheetId="6">写真貼付台紙!$A$1:$I$216</definedName>
    <definedName name="_xlnm.Print_Area" localSheetId="7">申請用図面!$A$1:$BG$38</definedName>
    <definedName name="_xlnm.Print_Area" localSheetId="13">理由書2!$A$1:$O$44</definedName>
    <definedName name="_xlnm.Print_Titles" localSheetId="5">お客様提示用内訳書!$1:$8</definedName>
    <definedName name="_xlnm.Print_Titles" localSheetId="2">原価内訳書!$1:$8</definedName>
    <definedName name="現場形態">[1]施工店名簿!$AC$18:$AC$19</definedName>
    <definedName name="工事内容">[1]施工店名簿!$AC$6:$AC$16</definedName>
    <definedName name="産廃持込">[1]施工店名簿!$AC$25:$AC$29</definedName>
    <definedName name="施工店名">[1]施工店名簿!$C$6:$C$89</definedName>
    <definedName name="車両制限">[1]施工店名簿!$AC$21:$AC$23</definedName>
    <definedName name="品番">商品リスト!$A$2:$A$39</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6" l="1"/>
  <c r="H13" i="6"/>
  <c r="H14" i="6"/>
  <c r="H15" i="6"/>
  <c r="H16" i="6"/>
  <c r="H17" i="6"/>
  <c r="D12" i="6"/>
  <c r="D12" i="8" s="1"/>
  <c r="D13" i="6"/>
  <c r="D13" i="8" s="1"/>
  <c r="D14" i="6"/>
  <c r="D14" i="8" s="1"/>
  <c r="D15" i="6"/>
  <c r="D15" i="8" s="1"/>
  <c r="D16" i="6"/>
  <c r="D16" i="8" s="1"/>
  <c r="N11" i="6"/>
  <c r="N11" i="8" s="1"/>
  <c r="N12" i="6"/>
  <c r="N12" i="8" s="1"/>
  <c r="N13" i="6"/>
  <c r="N13" i="8" s="1"/>
  <c r="N14" i="6"/>
  <c r="N14" i="8" s="1"/>
  <c r="N15" i="6"/>
  <c r="N15" i="8" s="1"/>
  <c r="N16" i="6"/>
  <c r="N16" i="8" s="1"/>
  <c r="N17" i="6"/>
  <c r="N17" i="8" s="1"/>
  <c r="N18" i="6"/>
  <c r="N18" i="8" s="1"/>
  <c r="N19" i="6"/>
  <c r="N19" i="8" s="1"/>
  <c r="N20" i="6"/>
  <c r="N20" i="8" s="1"/>
  <c r="N21" i="6"/>
  <c r="N21" i="8" s="1"/>
  <c r="N22" i="6"/>
  <c r="N22" i="8" s="1"/>
  <c r="N23" i="6"/>
  <c r="N23" i="8" s="1"/>
  <c r="N24" i="6"/>
  <c r="N24" i="8" s="1"/>
  <c r="N25" i="6"/>
  <c r="N25" i="8" s="1"/>
  <c r="N26" i="6"/>
  <c r="N26" i="8" s="1"/>
  <c r="N27" i="6"/>
  <c r="N27" i="8" s="1"/>
  <c r="N28" i="6"/>
  <c r="N28" i="8" s="1"/>
  <c r="N29" i="6"/>
  <c r="N29" i="8" s="1"/>
  <c r="N30" i="6"/>
  <c r="N30" i="8" s="1"/>
  <c r="N31" i="6"/>
  <c r="N31" i="8" s="1"/>
  <c r="N32" i="6"/>
  <c r="N32" i="8" s="1"/>
  <c r="N33" i="6"/>
  <c r="N33" i="8" s="1"/>
  <c r="N34" i="6"/>
  <c r="N34" i="8" s="1"/>
  <c r="N35" i="6"/>
  <c r="N35" i="8" s="1"/>
  <c r="N36" i="6"/>
  <c r="N36" i="8" s="1"/>
  <c r="N37" i="6"/>
  <c r="N37" i="8" s="1"/>
  <c r="N38" i="6"/>
  <c r="N38" i="8" s="1"/>
  <c r="N39" i="6"/>
  <c r="N39" i="8" s="1"/>
  <c r="N40" i="6"/>
  <c r="N40" i="8" s="1"/>
  <c r="N41" i="6"/>
  <c r="N41" i="8" s="1"/>
  <c r="N42" i="6"/>
  <c r="N42" i="8" s="1"/>
  <c r="N43" i="6"/>
  <c r="N43" i="8" s="1"/>
  <c r="N44" i="6"/>
  <c r="N44" i="8" s="1"/>
  <c r="N45" i="6"/>
  <c r="N45" i="8" s="1"/>
  <c r="N46" i="6"/>
  <c r="N46" i="8" s="1"/>
  <c r="N47" i="6"/>
  <c r="N48" i="6"/>
  <c r="N49" i="6"/>
  <c r="O48" i="8"/>
  <c r="A37" i="8"/>
  <c r="B37" i="8"/>
  <c r="C37" i="8"/>
  <c r="E37" i="8"/>
  <c r="I37" i="8" s="1"/>
  <c r="F37" i="8"/>
  <c r="J37" i="8" s="1"/>
  <c r="A38" i="8"/>
  <c r="B38" i="8"/>
  <c r="C38" i="8"/>
  <c r="E38" i="8"/>
  <c r="I38" i="8" s="1"/>
  <c r="F38" i="8"/>
  <c r="J38" i="8" s="1"/>
  <c r="A39" i="8"/>
  <c r="B39" i="8"/>
  <c r="C39" i="8"/>
  <c r="E39" i="8"/>
  <c r="I39" i="8" s="1"/>
  <c r="F39" i="8"/>
  <c r="J39" i="8" s="1"/>
  <c r="A40" i="8"/>
  <c r="B40" i="8"/>
  <c r="C40" i="8"/>
  <c r="E40" i="8"/>
  <c r="I40" i="8" s="1"/>
  <c r="F40" i="8"/>
  <c r="J40" i="8" s="1"/>
  <c r="A41" i="8"/>
  <c r="B41" i="8"/>
  <c r="C41" i="8"/>
  <c r="E41" i="8"/>
  <c r="I41" i="8" s="1"/>
  <c r="F41" i="8"/>
  <c r="J41" i="8" s="1"/>
  <c r="A42" i="8"/>
  <c r="B42" i="8"/>
  <c r="C42" i="8"/>
  <c r="E42" i="8"/>
  <c r="I42" i="8" s="1"/>
  <c r="F42" i="8"/>
  <c r="J42" i="8" s="1"/>
  <c r="A43" i="8"/>
  <c r="B43" i="8"/>
  <c r="C43" i="8"/>
  <c r="E43" i="8"/>
  <c r="I43" i="8" s="1"/>
  <c r="F43" i="8"/>
  <c r="J43" i="8" s="1"/>
  <c r="A44" i="8"/>
  <c r="B44" i="8"/>
  <c r="C44" i="8"/>
  <c r="E44" i="8"/>
  <c r="I44" i="8" s="1"/>
  <c r="F44" i="8"/>
  <c r="J44" i="8" s="1"/>
  <c r="A45" i="8"/>
  <c r="B45" i="8"/>
  <c r="C45" i="8"/>
  <c r="E45" i="8"/>
  <c r="I45" i="8" s="1"/>
  <c r="F45" i="8"/>
  <c r="J45" i="8" s="1"/>
  <c r="A46" i="8"/>
  <c r="B46" i="8"/>
  <c r="C46" i="8"/>
  <c r="E46" i="8"/>
  <c r="I46" i="8" s="1"/>
  <c r="F46" i="8"/>
  <c r="J46" i="8"/>
  <c r="M49" i="8"/>
  <c r="M50" i="8" s="1"/>
  <c r="L48" i="8"/>
  <c r="A17" i="8"/>
  <c r="B17" i="8"/>
  <c r="C17" i="8"/>
  <c r="E17" i="8"/>
  <c r="I17" i="8" s="1"/>
  <c r="F17" i="8"/>
  <c r="J17" i="8" s="1"/>
  <c r="A18" i="8"/>
  <c r="B18" i="8"/>
  <c r="C18" i="8"/>
  <c r="E18" i="8"/>
  <c r="I18" i="8" s="1"/>
  <c r="F18" i="8"/>
  <c r="J18" i="8"/>
  <c r="A19" i="8"/>
  <c r="B19" i="8"/>
  <c r="C19" i="8"/>
  <c r="E19" i="8"/>
  <c r="I19" i="8" s="1"/>
  <c r="F19" i="8"/>
  <c r="J19" i="8" s="1"/>
  <c r="A20" i="8"/>
  <c r="B20" i="8"/>
  <c r="C20" i="8"/>
  <c r="E20" i="8"/>
  <c r="I20" i="8" s="1"/>
  <c r="F20" i="8"/>
  <c r="J20" i="8" s="1"/>
  <c r="A21" i="8"/>
  <c r="B21" i="8"/>
  <c r="C21" i="8"/>
  <c r="E21" i="8"/>
  <c r="F21" i="8"/>
  <c r="J21" i="8" s="1"/>
  <c r="I21" i="8"/>
  <c r="A22" i="8"/>
  <c r="B22" i="8"/>
  <c r="C22" i="8"/>
  <c r="E22" i="8"/>
  <c r="I22" i="8" s="1"/>
  <c r="F22" i="8"/>
  <c r="J22" i="8" s="1"/>
  <c r="A23" i="8"/>
  <c r="B23" i="8"/>
  <c r="C23" i="8"/>
  <c r="E23" i="8"/>
  <c r="I23" i="8" s="1"/>
  <c r="F23" i="8"/>
  <c r="J23" i="8" s="1"/>
  <c r="A24" i="8"/>
  <c r="B24" i="8"/>
  <c r="C24" i="8"/>
  <c r="E24" i="8"/>
  <c r="I24" i="8" s="1"/>
  <c r="F24" i="8"/>
  <c r="J24" i="8" s="1"/>
  <c r="A25" i="8"/>
  <c r="B25" i="8"/>
  <c r="C25" i="8"/>
  <c r="E25" i="8"/>
  <c r="F25" i="8"/>
  <c r="J25" i="8" s="1"/>
  <c r="I25" i="8"/>
  <c r="A26" i="8"/>
  <c r="B26" i="8"/>
  <c r="C26" i="8"/>
  <c r="E26" i="8"/>
  <c r="I26" i="8" s="1"/>
  <c r="F26" i="8"/>
  <c r="J26" i="8" s="1"/>
  <c r="A27" i="8"/>
  <c r="B27" i="8"/>
  <c r="C27" i="8"/>
  <c r="E27" i="8"/>
  <c r="I27" i="8" s="1"/>
  <c r="F27" i="8"/>
  <c r="J27" i="8" s="1"/>
  <c r="A28" i="8"/>
  <c r="B28" i="8"/>
  <c r="C28" i="8"/>
  <c r="E28" i="8"/>
  <c r="I28" i="8" s="1"/>
  <c r="F28" i="8"/>
  <c r="J28" i="8" s="1"/>
  <c r="A29" i="8"/>
  <c r="B29" i="8"/>
  <c r="C29" i="8"/>
  <c r="E29" i="8"/>
  <c r="F29" i="8"/>
  <c r="J29" i="8" s="1"/>
  <c r="I29" i="8"/>
  <c r="A30" i="8"/>
  <c r="B30" i="8"/>
  <c r="C30" i="8"/>
  <c r="E30" i="8"/>
  <c r="I30" i="8" s="1"/>
  <c r="F30" i="8"/>
  <c r="J30" i="8"/>
  <c r="A31" i="8"/>
  <c r="B31" i="8"/>
  <c r="C31" i="8"/>
  <c r="E31" i="8"/>
  <c r="I31" i="8" s="1"/>
  <c r="F31" i="8"/>
  <c r="J31" i="8" s="1"/>
  <c r="A32" i="8"/>
  <c r="B32" i="8"/>
  <c r="C32" i="8"/>
  <c r="E32" i="8"/>
  <c r="I32" i="8" s="1"/>
  <c r="F32" i="8"/>
  <c r="J32" i="8" s="1"/>
  <c r="A33" i="8"/>
  <c r="B33" i="8"/>
  <c r="C33" i="8"/>
  <c r="E33" i="8"/>
  <c r="I33" i="8" s="1"/>
  <c r="F33" i="8"/>
  <c r="J33" i="8" s="1"/>
  <c r="A34" i="8"/>
  <c r="B34" i="8"/>
  <c r="C34" i="8"/>
  <c r="E34" i="8"/>
  <c r="I34" i="8" s="1"/>
  <c r="F34" i="8"/>
  <c r="J34" i="8"/>
  <c r="A35" i="8"/>
  <c r="B35" i="8"/>
  <c r="C35" i="8"/>
  <c r="E35" i="8"/>
  <c r="I35" i="8" s="1"/>
  <c r="F35" i="8"/>
  <c r="J35" i="8" s="1"/>
  <c r="A36" i="8"/>
  <c r="B36" i="8"/>
  <c r="C36" i="8"/>
  <c r="E36" i="8"/>
  <c r="I36" i="8" s="1"/>
  <c r="F36" i="8"/>
  <c r="J36" i="8" s="1"/>
  <c r="H18" i="6"/>
  <c r="G14" i="6"/>
  <c r="G14" i="8" s="1"/>
  <c r="G15" i="6"/>
  <c r="G15" i="8" s="1"/>
  <c r="G16" i="6"/>
  <c r="G16" i="8" s="1"/>
  <c r="K16" i="8" s="1"/>
  <c r="D11" i="6"/>
  <c r="D11" i="8" s="1"/>
  <c r="D10" i="6"/>
  <c r="D10" i="8" s="1"/>
  <c r="D17" i="6"/>
  <c r="D17" i="8" s="1"/>
  <c r="D18" i="6"/>
  <c r="D18" i="8" s="1"/>
  <c r="D19" i="6"/>
  <c r="D19" i="8" s="1"/>
  <c r="D20" i="6"/>
  <c r="D20" i="8" s="1"/>
  <c r="D21" i="6"/>
  <c r="D21" i="8" s="1"/>
  <c r="D22" i="6"/>
  <c r="D22" i="8" s="1"/>
  <c r="D23" i="6"/>
  <c r="D23" i="8" s="1"/>
  <c r="D24" i="6"/>
  <c r="D24" i="8" s="1"/>
  <c r="D25" i="6"/>
  <c r="D25" i="8" s="1"/>
  <c r="D26" i="6"/>
  <c r="D26" i="8" s="1"/>
  <c r="D27" i="6"/>
  <c r="D27" i="8" s="1"/>
  <c r="D28" i="6"/>
  <c r="D28" i="8" s="1"/>
  <c r="D29" i="6"/>
  <c r="D29" i="8" s="1"/>
  <c r="D30" i="6"/>
  <c r="D30" i="8" s="1"/>
  <c r="D31" i="6"/>
  <c r="D31" i="8" s="1"/>
  <c r="D32" i="6"/>
  <c r="D32" i="8" s="1"/>
  <c r="D33" i="6"/>
  <c r="D33" i="8" s="1"/>
  <c r="D34" i="6"/>
  <c r="D34" i="8" s="1"/>
  <c r="D35" i="6"/>
  <c r="D35" i="8" s="1"/>
  <c r="D36" i="6"/>
  <c r="D36" i="8" s="1"/>
  <c r="D37" i="6"/>
  <c r="D37" i="8" s="1"/>
  <c r="D38" i="6"/>
  <c r="D38" i="8" s="1"/>
  <c r="D39" i="6"/>
  <c r="D39" i="8" s="1"/>
  <c r="A11" i="8"/>
  <c r="B11" i="8"/>
  <c r="C11" i="8"/>
  <c r="E11" i="8"/>
  <c r="I11" i="8" s="1"/>
  <c r="F11" i="8"/>
  <c r="J11" i="8" s="1"/>
  <c r="A12" i="8"/>
  <c r="B12" i="8"/>
  <c r="C12" i="8"/>
  <c r="E12" i="8"/>
  <c r="I12" i="8" s="1"/>
  <c r="F12" i="8"/>
  <c r="J12" i="8" s="1"/>
  <c r="A13" i="8"/>
  <c r="B13" i="8"/>
  <c r="C13" i="8"/>
  <c r="E13" i="8"/>
  <c r="I13" i="8" s="1"/>
  <c r="F13" i="8"/>
  <c r="J13" i="8" s="1"/>
  <c r="A14" i="8"/>
  <c r="B14" i="8"/>
  <c r="C14" i="8"/>
  <c r="E14" i="8"/>
  <c r="I14" i="8" s="1"/>
  <c r="F14" i="8"/>
  <c r="J14" i="8" s="1"/>
  <c r="A15" i="8"/>
  <c r="B15" i="8"/>
  <c r="C15" i="8"/>
  <c r="E15" i="8"/>
  <c r="I15" i="8" s="1"/>
  <c r="F15" i="8"/>
  <c r="J15" i="8" s="1"/>
  <c r="A16" i="8"/>
  <c r="B16" i="8"/>
  <c r="C16" i="8"/>
  <c r="E16" i="8"/>
  <c r="I16" i="8" s="1"/>
  <c r="F16" i="8"/>
  <c r="J16" i="8" s="1"/>
  <c r="Z35" i="28"/>
  <c r="A36" i="28"/>
  <c r="A10" i="8"/>
  <c r="B10" i="8"/>
  <c r="C10" i="8"/>
  <c r="E10" i="8"/>
  <c r="I10" i="8" s="1"/>
  <c r="F10" i="8"/>
  <c r="J10" i="8" s="1"/>
  <c r="D9" i="6"/>
  <c r="D9" i="8" s="1"/>
  <c r="G17" i="6"/>
  <c r="G17" i="8" s="1"/>
  <c r="G18" i="6"/>
  <c r="G18" i="8" s="1"/>
  <c r="H18" i="8" s="1"/>
  <c r="G19" i="6"/>
  <c r="G19" i="8" s="1"/>
  <c r="H19" i="8" s="1"/>
  <c r="G20" i="6"/>
  <c r="G20" i="8" s="1"/>
  <c r="H20" i="8" s="1"/>
  <c r="G21" i="6"/>
  <c r="G21" i="8" s="1"/>
  <c r="G22" i="6"/>
  <c r="G22" i="8" s="1"/>
  <c r="H22" i="8" s="1"/>
  <c r="G23" i="6"/>
  <c r="G23" i="8" s="1"/>
  <c r="H23" i="8" s="1"/>
  <c r="G24" i="6"/>
  <c r="G24" i="8" s="1"/>
  <c r="H24" i="8" s="1"/>
  <c r="G25" i="6"/>
  <c r="G25" i="8" s="1"/>
  <c r="G26" i="6"/>
  <c r="G26" i="8" s="1"/>
  <c r="H26" i="8" s="1"/>
  <c r="G27" i="6"/>
  <c r="G27" i="8" s="1"/>
  <c r="G28" i="6"/>
  <c r="G28" i="8" s="1"/>
  <c r="H28" i="8" s="1"/>
  <c r="G29" i="6"/>
  <c r="G29" i="8" s="1"/>
  <c r="K29" i="8" s="1"/>
  <c r="G30" i="6"/>
  <c r="G30" i="8" s="1"/>
  <c r="H30" i="8" s="1"/>
  <c r="G31" i="6"/>
  <c r="G31" i="8" s="1"/>
  <c r="H31" i="8" s="1"/>
  <c r="G32" i="6"/>
  <c r="G32" i="8" s="1"/>
  <c r="H32" i="8" s="1"/>
  <c r="G33" i="6"/>
  <c r="G33" i="8" s="1"/>
  <c r="G34" i="6"/>
  <c r="G34" i="8" s="1"/>
  <c r="G35" i="6"/>
  <c r="G35" i="8" s="1"/>
  <c r="H35" i="8" s="1"/>
  <c r="G36" i="6"/>
  <c r="G36" i="8" s="1"/>
  <c r="H36" i="8" s="1"/>
  <c r="G37" i="6"/>
  <c r="G37" i="8" s="1"/>
  <c r="K37" i="8" s="1"/>
  <c r="G38" i="6"/>
  <c r="G38" i="8" s="1"/>
  <c r="H38" i="8" s="1"/>
  <c r="G39" i="6"/>
  <c r="G39" i="8" s="1"/>
  <c r="H39" i="8" s="1"/>
  <c r="G40" i="6"/>
  <c r="G40" i="8" s="1"/>
  <c r="H40" i="8" s="1"/>
  <c r="G41" i="6"/>
  <c r="G41" i="8" s="1"/>
  <c r="H41" i="8" s="1"/>
  <c r="L41" i="8" s="1"/>
  <c r="G42" i="6"/>
  <c r="G42" i="8" s="1"/>
  <c r="H42" i="8" s="1"/>
  <c r="G43" i="6"/>
  <c r="G43" i="8" s="1"/>
  <c r="H43" i="8" s="1"/>
  <c r="G44" i="6"/>
  <c r="G44" i="8" s="1"/>
  <c r="H44" i="8" s="1"/>
  <c r="G45" i="6"/>
  <c r="G45" i="8" s="1"/>
  <c r="K45" i="8" s="1"/>
  <c r="G46" i="6"/>
  <c r="G46" i="8" s="1"/>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10" i="6"/>
  <c r="G10" i="8" s="1"/>
  <c r="G11" i="6"/>
  <c r="G11" i="8" s="1"/>
  <c r="G12" i="6"/>
  <c r="G12" i="8" s="1"/>
  <c r="G13" i="6"/>
  <c r="G13" i="8" s="1"/>
  <c r="G9" i="6"/>
  <c r="C9" i="8"/>
  <c r="N10" i="6"/>
  <c r="N10" i="8" s="1"/>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9" i="6"/>
  <c r="D40" i="6"/>
  <c r="D40" i="8" s="1"/>
  <c r="D41" i="6"/>
  <c r="D41" i="8" s="1"/>
  <c r="D42" i="6"/>
  <c r="D42" i="8" s="1"/>
  <c r="D43" i="6"/>
  <c r="D43" i="8" s="1"/>
  <c r="D44" i="6"/>
  <c r="D44" i="8" s="1"/>
  <c r="D45" i="6"/>
  <c r="D45" i="8" s="1"/>
  <c r="D46" i="6"/>
  <c r="D46" i="8" s="1"/>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H11" i="6" l="1"/>
  <c r="H10" i="6"/>
  <c r="K17" i="8"/>
  <c r="H17" i="8"/>
  <c r="L17" i="8" s="1"/>
  <c r="K33" i="8"/>
  <c r="H33" i="8"/>
  <c r="L33" i="8" s="1"/>
  <c r="K25" i="8"/>
  <c r="H25" i="8"/>
  <c r="L25" i="8" s="1"/>
  <c r="H34" i="8"/>
  <c r="L34" i="8" s="1"/>
  <c r="K34" i="8"/>
  <c r="H46" i="8"/>
  <c r="L46" i="8" s="1"/>
  <c r="K46" i="8"/>
  <c r="K21" i="8"/>
  <c r="H21" i="8"/>
  <c r="L21" i="8" s="1"/>
  <c r="H27" i="8"/>
  <c r="L27" i="8" s="1"/>
  <c r="K27" i="8"/>
  <c r="K30" i="8"/>
  <c r="H29" i="8"/>
  <c r="L29" i="8" s="1"/>
  <c r="K23" i="8"/>
  <c r="K41" i="8"/>
  <c r="K18" i="8"/>
  <c r="K31" i="8"/>
  <c r="K22" i="8"/>
  <c r="H37" i="8"/>
  <c r="L37" i="8" s="1"/>
  <c r="K35" i="8"/>
  <c r="K26" i="8"/>
  <c r="H45" i="8"/>
  <c r="L45" i="8" s="1"/>
  <c r="K38" i="8"/>
  <c r="K42" i="8"/>
  <c r="K19" i="8"/>
  <c r="O40" i="8"/>
  <c r="L40" i="8"/>
  <c r="O39" i="8"/>
  <c r="L39" i="8"/>
  <c r="O44" i="8"/>
  <c r="L44" i="8"/>
  <c r="O43" i="8"/>
  <c r="L43" i="8"/>
  <c r="L38" i="8"/>
  <c r="O38" i="8"/>
  <c r="L42" i="8"/>
  <c r="O42" i="8"/>
  <c r="K43" i="8"/>
  <c r="K39" i="8"/>
  <c r="O41" i="8"/>
  <c r="K44" i="8"/>
  <c r="K40" i="8"/>
  <c r="L26" i="8"/>
  <c r="O26" i="8"/>
  <c r="L30" i="8"/>
  <c r="O30" i="8"/>
  <c r="O20" i="8"/>
  <c r="L20" i="8"/>
  <c r="O24" i="8"/>
  <c r="L24" i="8"/>
  <c r="O35" i="8"/>
  <c r="L35" i="8"/>
  <c r="O28" i="8"/>
  <c r="L28" i="8"/>
  <c r="O19" i="8"/>
  <c r="L19" i="8"/>
  <c r="O32" i="8"/>
  <c r="L32" i="8"/>
  <c r="L23" i="8"/>
  <c r="O23" i="8"/>
  <c r="O36" i="8"/>
  <c r="L36" i="8"/>
  <c r="L22" i="8"/>
  <c r="O22" i="8"/>
  <c r="O31" i="8"/>
  <c r="L31" i="8"/>
  <c r="L18" i="8"/>
  <c r="O18" i="8"/>
  <c r="K36" i="8"/>
  <c r="K32" i="8"/>
  <c r="K28" i="8"/>
  <c r="K24" i="8"/>
  <c r="K20" i="8"/>
  <c r="H13" i="8"/>
  <c r="L13" i="8" s="1"/>
  <c r="K11" i="8"/>
  <c r="H11" i="8"/>
  <c r="L11" i="8" s="1"/>
  <c r="H14" i="8"/>
  <c r="L14" i="8" s="1"/>
  <c r="K14" i="8"/>
  <c r="H12" i="8"/>
  <c r="L12" i="8" s="1"/>
  <c r="K12" i="8"/>
  <c r="K15" i="8"/>
  <c r="H15" i="8"/>
  <c r="L15" i="8" s="1"/>
  <c r="K13" i="8"/>
  <c r="H16" i="8"/>
  <c r="H10" i="8"/>
  <c r="L10" i="8" s="1"/>
  <c r="K10" i="8"/>
  <c r="O34" i="8" l="1"/>
  <c r="O27" i="8"/>
  <c r="O33" i="8"/>
  <c r="O25" i="8"/>
  <c r="O37" i="8"/>
  <c r="O17" i="8"/>
  <c r="O21" i="8"/>
  <c r="O46" i="8"/>
  <c r="O29" i="8"/>
  <c r="O45" i="8"/>
  <c r="O14" i="8"/>
  <c r="O12" i="8"/>
  <c r="L16" i="8"/>
  <c r="O16" i="8"/>
  <c r="C9" i="25" l="1"/>
  <c r="C6" i="25"/>
  <c r="C3" i="25"/>
  <c r="L22" i="24"/>
  <c r="L9" i="24"/>
  <c r="J9" i="24"/>
  <c r="H9" i="24"/>
  <c r="E7" i="24"/>
  <c r="E6" i="24"/>
  <c r="Y8" i="24"/>
  <c r="X8" i="24"/>
  <c r="W8" i="24"/>
  <c r="V8" i="24"/>
  <c r="U8" i="24"/>
  <c r="T8" i="24"/>
  <c r="S8" i="24"/>
  <c r="R8" i="24"/>
  <c r="Q8" i="24"/>
  <c r="P8" i="24"/>
  <c r="G9" i="8" l="1"/>
  <c r="P27" i="16" l="1"/>
  <c r="L9" i="16"/>
  <c r="J9" i="16"/>
  <c r="H9" i="16"/>
  <c r="F27" i="19"/>
  <c r="P24" i="19"/>
  <c r="S11" i="18"/>
  <c r="Z18" i="18"/>
  <c r="E6" i="16"/>
  <c r="L25" i="16"/>
  <c r="Y8" i="16"/>
  <c r="X8" i="16"/>
  <c r="W8" i="16"/>
  <c r="V8" i="16"/>
  <c r="U8" i="16"/>
  <c r="T8" i="16"/>
  <c r="S8" i="16"/>
  <c r="R8" i="16"/>
  <c r="Q8" i="16"/>
  <c r="P8" i="16"/>
  <c r="E7" i="16"/>
  <c r="N9" i="8" l="1"/>
  <c r="H489" i="14"/>
  <c r="C489" i="14"/>
  <c r="H435" i="14"/>
  <c r="C435" i="14"/>
  <c r="H381" i="14"/>
  <c r="C381" i="14"/>
  <c r="H327" i="14"/>
  <c r="C327" i="14"/>
  <c r="H273" i="14"/>
  <c r="C273" i="14"/>
  <c r="H219" i="14"/>
  <c r="C219" i="14"/>
  <c r="H165" i="14"/>
  <c r="C165" i="14"/>
  <c r="H111" i="14"/>
  <c r="C111" i="14"/>
  <c r="H57" i="14"/>
  <c r="C57" i="14"/>
  <c r="H3" i="14"/>
  <c r="C3" i="14"/>
  <c r="H29" i="6"/>
  <c r="L29" i="6" s="1"/>
  <c r="I29" i="6"/>
  <c r="J29" i="6"/>
  <c r="K29" i="6"/>
  <c r="H30" i="6"/>
  <c r="L30" i="6" s="1"/>
  <c r="I30" i="6"/>
  <c r="J30" i="6"/>
  <c r="K30" i="6"/>
  <c r="H31" i="6"/>
  <c r="L31" i="6" s="1"/>
  <c r="I31" i="6"/>
  <c r="J31" i="6"/>
  <c r="K31" i="6"/>
  <c r="H32" i="6"/>
  <c r="L32" i="6" s="1"/>
  <c r="I32" i="6"/>
  <c r="J32" i="6"/>
  <c r="K32" i="6"/>
  <c r="H33" i="6"/>
  <c r="L33" i="6" s="1"/>
  <c r="I33" i="6"/>
  <c r="J33" i="6"/>
  <c r="K33" i="6"/>
  <c r="H34" i="6"/>
  <c r="L34" i="6" s="1"/>
  <c r="I34" i="6"/>
  <c r="J34" i="6"/>
  <c r="K34" i="6"/>
  <c r="H35" i="6"/>
  <c r="L35" i="6" s="1"/>
  <c r="I35" i="6"/>
  <c r="J35" i="6"/>
  <c r="K35" i="6"/>
  <c r="H36" i="6"/>
  <c r="L36" i="6" s="1"/>
  <c r="I36" i="6"/>
  <c r="J36" i="6"/>
  <c r="K36" i="6"/>
  <c r="H37" i="6"/>
  <c r="L37" i="6" s="1"/>
  <c r="I37" i="6"/>
  <c r="J37" i="6"/>
  <c r="K37" i="6"/>
  <c r="H38" i="6"/>
  <c r="L38" i="6" s="1"/>
  <c r="I38" i="6"/>
  <c r="J38" i="6"/>
  <c r="K38" i="6"/>
  <c r="H39" i="6"/>
  <c r="L39" i="6" s="1"/>
  <c r="I39" i="6"/>
  <c r="J39" i="6"/>
  <c r="K39" i="6"/>
  <c r="H40" i="6"/>
  <c r="L40" i="6" s="1"/>
  <c r="I40" i="6"/>
  <c r="J40" i="6"/>
  <c r="K40" i="6"/>
  <c r="H41" i="6"/>
  <c r="L41" i="6" s="1"/>
  <c r="I41" i="6"/>
  <c r="J41" i="6"/>
  <c r="K41" i="6"/>
  <c r="H42" i="6"/>
  <c r="L42" i="6" s="1"/>
  <c r="I42" i="6"/>
  <c r="J42" i="6"/>
  <c r="K42" i="6"/>
  <c r="H43" i="6"/>
  <c r="L43" i="6" s="1"/>
  <c r="I43" i="6"/>
  <c r="J43" i="6"/>
  <c r="K43" i="6"/>
  <c r="H44" i="6"/>
  <c r="L44" i="6" s="1"/>
  <c r="I44" i="6"/>
  <c r="J44" i="6"/>
  <c r="K44" i="6"/>
  <c r="H45" i="6"/>
  <c r="L45" i="6" s="1"/>
  <c r="I45" i="6"/>
  <c r="J45" i="6"/>
  <c r="K45" i="6"/>
  <c r="H46" i="6"/>
  <c r="L46" i="6" s="1"/>
  <c r="I46" i="6"/>
  <c r="J46" i="6"/>
  <c r="K46" i="6"/>
  <c r="H47" i="6"/>
  <c r="L47" i="6" s="1"/>
  <c r="I47" i="6"/>
  <c r="J47" i="6"/>
  <c r="K47" i="6"/>
  <c r="H48" i="6"/>
  <c r="L48" i="6" s="1"/>
  <c r="I48" i="6"/>
  <c r="J48" i="6"/>
  <c r="K48" i="6"/>
  <c r="H49" i="6"/>
  <c r="L49" i="6" s="1"/>
  <c r="I49" i="6"/>
  <c r="J49" i="6"/>
  <c r="K49" i="6"/>
  <c r="H50" i="6"/>
  <c r="L50" i="6" s="1"/>
  <c r="I50" i="6"/>
  <c r="J50" i="6"/>
  <c r="K50" i="6"/>
  <c r="H51" i="6"/>
  <c r="L51" i="6" s="1"/>
  <c r="I51" i="6"/>
  <c r="J51" i="6"/>
  <c r="K51" i="6"/>
  <c r="H52" i="6"/>
  <c r="L52" i="6" s="1"/>
  <c r="I52" i="6"/>
  <c r="J52" i="6"/>
  <c r="K52" i="6"/>
  <c r="H53" i="6"/>
  <c r="L53" i="6" s="1"/>
  <c r="I53" i="6"/>
  <c r="J53" i="6"/>
  <c r="K53" i="6"/>
  <c r="H54" i="6"/>
  <c r="L54" i="6" s="1"/>
  <c r="I54" i="6"/>
  <c r="J54" i="6"/>
  <c r="K54" i="6"/>
  <c r="H55" i="6"/>
  <c r="L55" i="6" s="1"/>
  <c r="I55" i="6"/>
  <c r="J55" i="6"/>
  <c r="K55" i="6"/>
  <c r="H56" i="6"/>
  <c r="L56" i="6" s="1"/>
  <c r="I56" i="6"/>
  <c r="J56" i="6"/>
  <c r="K56" i="6"/>
  <c r="H57" i="6"/>
  <c r="L57" i="6" s="1"/>
  <c r="I57" i="6"/>
  <c r="J57" i="6"/>
  <c r="K57" i="6"/>
  <c r="H58" i="6"/>
  <c r="L58" i="6" s="1"/>
  <c r="I58" i="6"/>
  <c r="J58" i="6"/>
  <c r="K58" i="6"/>
  <c r="H59" i="6"/>
  <c r="L59" i="6" s="1"/>
  <c r="I59" i="6"/>
  <c r="J59" i="6"/>
  <c r="K59" i="6"/>
  <c r="H60" i="6"/>
  <c r="L60" i="6" s="1"/>
  <c r="I60" i="6"/>
  <c r="J60" i="6"/>
  <c r="K60" i="6"/>
  <c r="H61" i="6"/>
  <c r="L61" i="6" s="1"/>
  <c r="I61" i="6"/>
  <c r="J61" i="6"/>
  <c r="K61" i="6"/>
  <c r="H62" i="6"/>
  <c r="L62" i="6" s="1"/>
  <c r="I62" i="6"/>
  <c r="J62" i="6"/>
  <c r="K62" i="6"/>
  <c r="H63" i="6"/>
  <c r="L63" i="6" s="1"/>
  <c r="I63" i="6"/>
  <c r="J63" i="6"/>
  <c r="K63" i="6"/>
  <c r="H64" i="6"/>
  <c r="L64" i="6" s="1"/>
  <c r="I64" i="6"/>
  <c r="J64" i="6"/>
  <c r="K64" i="6"/>
  <c r="H65" i="6"/>
  <c r="L65" i="6" s="1"/>
  <c r="I65" i="6"/>
  <c r="J65" i="6"/>
  <c r="K65" i="6"/>
  <c r="H66" i="6"/>
  <c r="L66" i="6" s="1"/>
  <c r="I66" i="6"/>
  <c r="J66" i="6"/>
  <c r="K66" i="6"/>
  <c r="H67" i="6"/>
  <c r="L67" i="6" s="1"/>
  <c r="I67" i="6"/>
  <c r="J67" i="6"/>
  <c r="K67" i="6"/>
  <c r="H68" i="6"/>
  <c r="L68" i="6" s="1"/>
  <c r="I68" i="6"/>
  <c r="J68" i="6"/>
  <c r="K68" i="6"/>
  <c r="H25" i="6"/>
  <c r="L25" i="6" s="1"/>
  <c r="I25" i="6"/>
  <c r="J25" i="6"/>
  <c r="K25" i="6"/>
  <c r="H26" i="6"/>
  <c r="L26" i="6" s="1"/>
  <c r="I26" i="6"/>
  <c r="J26" i="6"/>
  <c r="K26" i="6"/>
  <c r="H27" i="6"/>
  <c r="L27" i="6" s="1"/>
  <c r="I27" i="6"/>
  <c r="J27" i="6"/>
  <c r="K27" i="6"/>
  <c r="H28" i="6"/>
  <c r="L28" i="6" s="1"/>
  <c r="I28" i="6"/>
  <c r="J28" i="6"/>
  <c r="K28" i="6"/>
  <c r="H24" i="6"/>
  <c r="L24" i="6" s="1"/>
  <c r="I24" i="6"/>
  <c r="J24" i="6"/>
  <c r="K24" i="6"/>
  <c r="H23" i="6"/>
  <c r="I23" i="6"/>
  <c r="J23" i="6"/>
  <c r="K23" i="6"/>
  <c r="H9" i="6"/>
  <c r="L9" i="6" s="1"/>
  <c r="I9" i="6"/>
  <c r="J9" i="6"/>
  <c r="K9" i="6"/>
  <c r="O10" i="8"/>
  <c r="I10" i="6"/>
  <c r="J10" i="6"/>
  <c r="K10" i="6"/>
  <c r="O11" i="8"/>
  <c r="I11" i="6"/>
  <c r="J11" i="6"/>
  <c r="K11" i="6"/>
  <c r="D19" i="13"/>
  <c r="D21" i="13"/>
  <c r="A7" i="13"/>
  <c r="E9" i="8"/>
  <c r="I9" i="8" s="1"/>
  <c r="B9" i="11"/>
  <c r="G19" i="11"/>
  <c r="G18" i="11"/>
  <c r="G17" i="11"/>
  <c r="G16" i="11"/>
  <c r="G15" i="11"/>
  <c r="G14" i="11"/>
  <c r="G13" i="11"/>
  <c r="G12" i="11"/>
  <c r="G11" i="11"/>
  <c r="G10" i="11"/>
  <c r="L86" i="6"/>
  <c r="K84" i="6"/>
  <c r="K83" i="6"/>
  <c r="K82" i="6"/>
  <c r="K81" i="6"/>
  <c r="K80" i="6"/>
  <c r="K79" i="6"/>
  <c r="K78" i="6"/>
  <c r="K77" i="6"/>
  <c r="K76" i="6"/>
  <c r="K75" i="6"/>
  <c r="K74" i="6"/>
  <c r="K73" i="6"/>
  <c r="K72" i="6"/>
  <c r="K71" i="6"/>
  <c r="K70" i="6"/>
  <c r="K69" i="6"/>
  <c r="K22" i="6"/>
  <c r="K21" i="6"/>
  <c r="K20" i="6"/>
  <c r="K19" i="6"/>
  <c r="K18" i="6"/>
  <c r="K17" i="6"/>
  <c r="K16" i="6"/>
  <c r="K15" i="6"/>
  <c r="K14" i="6"/>
  <c r="K13" i="6"/>
  <c r="K12" i="6"/>
  <c r="D4" i="8"/>
  <c r="D4" i="6"/>
  <c r="B5" i="8"/>
  <c r="B5" i="6"/>
  <c r="A3" i="8"/>
  <c r="A3" i="6"/>
  <c r="J84" i="6"/>
  <c r="I84" i="6"/>
  <c r="J83" i="6"/>
  <c r="I83" i="6"/>
  <c r="J82" i="6"/>
  <c r="I82" i="6"/>
  <c r="J81" i="6"/>
  <c r="I81" i="6"/>
  <c r="J80" i="6"/>
  <c r="I80" i="6"/>
  <c r="J79" i="6"/>
  <c r="I79" i="6"/>
  <c r="J78" i="6"/>
  <c r="I78" i="6"/>
  <c r="J77" i="6"/>
  <c r="I77" i="6"/>
  <c r="J76" i="6"/>
  <c r="I76" i="6"/>
  <c r="J75" i="6"/>
  <c r="I75" i="6"/>
  <c r="J74" i="6"/>
  <c r="I74" i="6"/>
  <c r="J73" i="6"/>
  <c r="I73" i="6"/>
  <c r="J72" i="6"/>
  <c r="I72" i="6"/>
  <c r="J71" i="6"/>
  <c r="I71" i="6"/>
  <c r="J70" i="6"/>
  <c r="I70" i="6"/>
  <c r="J69" i="6"/>
  <c r="I69" i="6"/>
  <c r="J22" i="6"/>
  <c r="I22" i="6"/>
  <c r="J21" i="6"/>
  <c r="I21" i="6"/>
  <c r="J20" i="6"/>
  <c r="I20" i="6"/>
  <c r="J19" i="6"/>
  <c r="I19" i="6"/>
  <c r="J18" i="6"/>
  <c r="I18" i="6"/>
  <c r="J17" i="6"/>
  <c r="I17" i="6"/>
  <c r="J16" i="6"/>
  <c r="I16" i="6"/>
  <c r="J15" i="6"/>
  <c r="I15" i="6"/>
  <c r="J14" i="6"/>
  <c r="I14" i="6"/>
  <c r="J13" i="6"/>
  <c r="I13" i="6"/>
  <c r="J12" i="6"/>
  <c r="I12" i="6"/>
  <c r="H82" i="6"/>
  <c r="L82" i="6" s="1"/>
  <c r="H84" i="6"/>
  <c r="L84" i="6" s="1"/>
  <c r="H83" i="6"/>
  <c r="L83" i="6" s="1"/>
  <c r="H81" i="6"/>
  <c r="L81" i="6" s="1"/>
  <c r="H80" i="6"/>
  <c r="L80" i="6" s="1"/>
  <c r="H79" i="6"/>
  <c r="L79" i="6" s="1"/>
  <c r="H78" i="6"/>
  <c r="L78" i="6" s="1"/>
  <c r="H77" i="6"/>
  <c r="L77" i="6" s="1"/>
  <c r="H76" i="6"/>
  <c r="L76" i="6" s="1"/>
  <c r="H75" i="6"/>
  <c r="L75" i="6" s="1"/>
  <c r="H74" i="6"/>
  <c r="L74" i="6" s="1"/>
  <c r="H73" i="6"/>
  <c r="L73" i="6" s="1"/>
  <c r="H72" i="6"/>
  <c r="L72" i="6" s="1"/>
  <c r="H71" i="6"/>
  <c r="L71" i="6" s="1"/>
  <c r="H70" i="6"/>
  <c r="L70" i="6" s="1"/>
  <c r="H69" i="6"/>
  <c r="L69" i="6" s="1"/>
  <c r="H22" i="6"/>
  <c r="L22" i="6" s="1"/>
  <c r="H21" i="6"/>
  <c r="H20" i="6"/>
  <c r="H19" i="6"/>
  <c r="O15" i="8"/>
  <c r="O13" i="8"/>
  <c r="F9" i="8"/>
  <c r="J9" i="8" s="1"/>
  <c r="B9" i="8"/>
  <c r="A9" i="8"/>
  <c r="L21" i="6" l="1"/>
  <c r="L20" i="6"/>
  <c r="L18" i="6"/>
  <c r="L23" i="6"/>
  <c r="L10" i="6"/>
  <c r="L13" i="6"/>
  <c r="L12" i="6"/>
  <c r="L11" i="6"/>
  <c r="L15" i="6"/>
  <c r="L19" i="6"/>
  <c r="L17" i="6"/>
  <c r="L16" i="6"/>
  <c r="L14" i="6"/>
  <c r="H9" i="8"/>
  <c r="H47" i="8" s="1"/>
  <c r="K9" i="8"/>
  <c r="H85" i="6"/>
  <c r="F9" i="11" s="1"/>
  <c r="G9" i="11" s="1"/>
  <c r="K16" i="11" s="1"/>
  <c r="O47" i="8" l="1"/>
  <c r="H49" i="8"/>
  <c r="L85" i="6"/>
  <c r="L87" i="6" s="1"/>
  <c r="L88" i="6" s="1"/>
  <c r="O9" i="8"/>
  <c r="L9" i="8"/>
  <c r="L47" i="8" s="1"/>
  <c r="L49" i="8" s="1"/>
  <c r="L50" i="8" s="1"/>
  <c r="H87" i="6"/>
  <c r="H88" i="6" s="1"/>
  <c r="K18" i="11"/>
  <c r="K19" i="11" s="1"/>
  <c r="C2" i="11" s="1"/>
  <c r="O49" i="8" l="1"/>
  <c r="H50" i="8"/>
  <c r="O50" i="8" l="1"/>
  <c r="D14" i="13"/>
</calcChain>
</file>

<file path=xl/sharedStrings.xml><?xml version="1.0" encoding="utf-8"?>
<sst xmlns="http://schemas.openxmlformats.org/spreadsheetml/2006/main" count="1919" uniqueCount="1372">
  <si>
    <t>数量</t>
    <rPh sb="0" eb="2">
      <t>スウリョウ</t>
    </rPh>
    <phoneticPr fontId="3"/>
  </si>
  <si>
    <t>単価</t>
    <rPh sb="0" eb="2">
      <t>タンカ</t>
    </rPh>
    <phoneticPr fontId="3"/>
  </si>
  <si>
    <t>金額</t>
    <rPh sb="0" eb="2">
      <t>キンガク</t>
    </rPh>
    <phoneticPr fontId="3"/>
  </si>
  <si>
    <t>介護保険対象部分</t>
    <rPh sb="0" eb="2">
      <t>カイゴ</t>
    </rPh>
    <rPh sb="2" eb="4">
      <t>ホケン</t>
    </rPh>
    <rPh sb="4" eb="6">
      <t>タイショウ</t>
    </rPh>
    <rPh sb="6" eb="8">
      <t>ブブン</t>
    </rPh>
    <phoneticPr fontId="3"/>
  </si>
  <si>
    <t>内容（　規格・範囲　）</t>
    <rPh sb="0" eb="2">
      <t>ナイヨウ</t>
    </rPh>
    <rPh sb="4" eb="6">
      <t>キカク</t>
    </rPh>
    <rPh sb="7" eb="9">
      <t>ハンイ</t>
    </rPh>
    <phoneticPr fontId="3"/>
  </si>
  <si>
    <t>様邸　住宅改修</t>
    <rPh sb="3" eb="5">
      <t>ジュウタク</t>
    </rPh>
    <rPh sb="5" eb="7">
      <t>カイシュウ</t>
    </rPh>
    <phoneticPr fontId="3"/>
  </si>
  <si>
    <t>改修内容
（付帯工事含む）</t>
    <rPh sb="0" eb="2">
      <t>カイシュウ</t>
    </rPh>
    <rPh sb="2" eb="4">
      <t>ナイヨウ</t>
    </rPh>
    <rPh sb="6" eb="8">
      <t>フタイ</t>
    </rPh>
    <rPh sb="8" eb="10">
      <t>コウジ</t>
    </rPh>
    <rPh sb="10" eb="11">
      <t>フク</t>
    </rPh>
    <phoneticPr fontId="3"/>
  </si>
  <si>
    <t>改修場所
（写真No．）</t>
    <rPh sb="0" eb="2">
      <t>カイシュウ</t>
    </rPh>
    <rPh sb="2" eb="4">
      <t>バショ</t>
    </rPh>
    <rPh sb="6" eb="8">
      <t>シャシン</t>
    </rPh>
    <phoneticPr fontId="3"/>
  </si>
  <si>
    <t>介護保険
対象外金額</t>
    <rPh sb="0" eb="2">
      <t>カイゴ</t>
    </rPh>
    <rPh sb="2" eb="4">
      <t>ホケン</t>
    </rPh>
    <rPh sb="5" eb="8">
      <t>タイショウガイ</t>
    </rPh>
    <rPh sb="8" eb="10">
      <t>キンガク</t>
    </rPh>
    <phoneticPr fontId="3"/>
  </si>
  <si>
    <t>備考（定価等）</t>
    <rPh sb="0" eb="2">
      <t>ビコウ</t>
    </rPh>
    <rPh sb="3" eb="5">
      <t>テイカ</t>
    </rPh>
    <rPh sb="5" eb="6">
      <t>トウ</t>
    </rPh>
    <phoneticPr fontId="3"/>
  </si>
  <si>
    <t>①　工　事　費　見　積　書</t>
    <phoneticPr fontId="3"/>
  </si>
  <si>
    <t>工事場所（住所）</t>
    <phoneticPr fontId="3"/>
  </si>
  <si>
    <t>小計</t>
  </si>
  <si>
    <t>消費税</t>
  </si>
  <si>
    <t>合計</t>
  </si>
  <si>
    <t>介護保険被保険者番号</t>
    <phoneticPr fontId="3"/>
  </si>
  <si>
    <t>この枠内は印刷されません。</t>
    <rPh sb="2" eb="4">
      <t>ワクナイ</t>
    </rPh>
    <rPh sb="5" eb="7">
      <t>インサツ</t>
    </rPh>
    <phoneticPr fontId="3"/>
  </si>
  <si>
    <t>粗利率は</t>
    <rPh sb="0" eb="2">
      <t>アラリ</t>
    </rPh>
    <rPh sb="2" eb="3">
      <t>リツ</t>
    </rPh>
    <phoneticPr fontId="3"/>
  </si>
  <si>
    <t>％で計算</t>
    <rPh sb="2" eb="4">
      <t>ケイサン</t>
    </rPh>
    <phoneticPr fontId="3"/>
  </si>
  <si>
    <t>　　↓粗利率を入力</t>
    <rPh sb="3" eb="6">
      <t>アラリリツ</t>
    </rPh>
    <rPh sb="7" eb="9">
      <t>ニュウリョク</t>
    </rPh>
    <phoneticPr fontId="3"/>
  </si>
  <si>
    <t>お客様名：</t>
    <rPh sb="1" eb="3">
      <t>キャクサマ</t>
    </rPh>
    <rPh sb="3" eb="4">
      <t>メイ</t>
    </rPh>
    <phoneticPr fontId="3"/>
  </si>
  <si>
    <t>住所：</t>
    <rPh sb="0" eb="2">
      <t>ジュウショ</t>
    </rPh>
    <phoneticPr fontId="3"/>
  </si>
  <si>
    <t>電話番号：</t>
    <rPh sb="0" eb="2">
      <t>デンワ</t>
    </rPh>
    <rPh sb="2" eb="4">
      <t>バンゴウ</t>
    </rPh>
    <phoneticPr fontId="3"/>
  </si>
  <si>
    <t>被保険者番号：</t>
    <rPh sb="0" eb="4">
      <t>ヒホケンシャ</t>
    </rPh>
    <rPh sb="4" eb="6">
      <t>バンゴウ</t>
    </rPh>
    <phoneticPr fontId="3"/>
  </si>
  <si>
    <t>現調依頼日：</t>
    <rPh sb="0" eb="2">
      <t>ゲンチョウ</t>
    </rPh>
    <rPh sb="2" eb="5">
      <t>イライビ</t>
    </rPh>
    <phoneticPr fontId="3"/>
  </si>
  <si>
    <t>粗利率
（手入力した
場合の
参考値）</t>
    <rPh sb="0" eb="2">
      <t>アラリ</t>
    </rPh>
    <rPh sb="2" eb="3">
      <t>リツ</t>
    </rPh>
    <rPh sb="5" eb="6">
      <t>テ</t>
    </rPh>
    <rPh sb="6" eb="8">
      <t>ニュウリョク</t>
    </rPh>
    <rPh sb="11" eb="13">
      <t>バアイ</t>
    </rPh>
    <rPh sb="15" eb="17">
      <t>サンコウ</t>
    </rPh>
    <rPh sb="17" eb="18">
      <t>アタイ</t>
    </rPh>
    <phoneticPr fontId="3"/>
  </si>
  <si>
    <t>諸経費</t>
    <rPh sb="0" eb="3">
      <t>ショケイヒ</t>
    </rPh>
    <phoneticPr fontId="3"/>
  </si>
  <si>
    <t>合計金額</t>
    <rPh sb="0" eb="2">
      <t>ゴウケイ</t>
    </rPh>
    <rPh sb="2" eb="4">
      <t>キンガク</t>
    </rPh>
    <phoneticPr fontId="3"/>
  </si>
  <si>
    <t>支払条件</t>
    <rPh sb="0" eb="4">
      <t>シハライジョウケン</t>
    </rPh>
    <phoneticPr fontId="3"/>
  </si>
  <si>
    <t>有効期限</t>
    <rPh sb="0" eb="4">
      <t>ユウコウキゲン</t>
    </rPh>
    <phoneticPr fontId="3"/>
  </si>
  <si>
    <t>品　　　　名</t>
    <rPh sb="0" eb="1">
      <t>シナ</t>
    </rPh>
    <rPh sb="5" eb="6">
      <t>メイ</t>
    </rPh>
    <phoneticPr fontId="3"/>
  </si>
  <si>
    <t>数量</t>
    <rPh sb="0" eb="1">
      <t>カズ</t>
    </rPh>
    <rPh sb="1" eb="2">
      <t>リョウ</t>
    </rPh>
    <phoneticPr fontId="3"/>
  </si>
  <si>
    <t>単位</t>
    <rPh sb="0" eb="2">
      <t>タンイ</t>
    </rPh>
    <phoneticPr fontId="3"/>
  </si>
  <si>
    <t>単価</t>
    <rPh sb="0" eb="1">
      <t>タン</t>
    </rPh>
    <rPh sb="1" eb="2">
      <t>アタイ</t>
    </rPh>
    <phoneticPr fontId="3"/>
  </si>
  <si>
    <t>金　　額</t>
    <rPh sb="0" eb="1">
      <t>キン</t>
    </rPh>
    <rPh sb="3" eb="4">
      <t>ガク</t>
    </rPh>
    <phoneticPr fontId="3"/>
  </si>
  <si>
    <t>摘　　要</t>
    <rPh sb="0" eb="1">
      <t>テキ</t>
    </rPh>
    <rPh sb="3" eb="4">
      <t>ヨウ</t>
    </rPh>
    <phoneticPr fontId="3"/>
  </si>
  <si>
    <t>備　　考</t>
    <rPh sb="0" eb="1">
      <t>ビ</t>
    </rPh>
    <rPh sb="3" eb="4">
      <t>コウ</t>
    </rPh>
    <phoneticPr fontId="3"/>
  </si>
  <si>
    <t>小　　計</t>
    <rPh sb="0" eb="1">
      <t>ショウ</t>
    </rPh>
    <rPh sb="3" eb="4">
      <t>ケイ</t>
    </rPh>
    <phoneticPr fontId="3"/>
  </si>
  <si>
    <t>税率</t>
    <rPh sb="0" eb="2">
      <t>ゼイリツ</t>
    </rPh>
    <phoneticPr fontId="3"/>
  </si>
  <si>
    <t>消費税</t>
    <rPh sb="0" eb="3">
      <t>ショウヒゼイ</t>
    </rPh>
    <phoneticPr fontId="3"/>
  </si>
  <si>
    <t>合　　計</t>
    <rPh sb="0" eb="1">
      <t>ゴウ</t>
    </rPh>
    <rPh sb="3" eb="4">
      <t>ケイ</t>
    </rPh>
    <phoneticPr fontId="3"/>
  </si>
  <si>
    <t>様　邸　住宅改修工事一式</t>
    <rPh sb="0" eb="1">
      <t>サマ</t>
    </rPh>
    <rPh sb="2" eb="3">
      <t>テイ</t>
    </rPh>
    <rPh sb="4" eb="6">
      <t>ジュウタク</t>
    </rPh>
    <rPh sb="6" eb="8">
      <t>カイシュウ</t>
    </rPh>
    <rPh sb="8" eb="10">
      <t>コウジ</t>
    </rPh>
    <rPh sb="10" eb="12">
      <t>イッシキ</t>
    </rPh>
    <phoneticPr fontId="3"/>
  </si>
  <si>
    <t>式</t>
    <rPh sb="0" eb="1">
      <t>シキ</t>
    </rPh>
    <phoneticPr fontId="3"/>
  </si>
  <si>
    <t>様</t>
    <rPh sb="0" eb="1">
      <t>サマ</t>
    </rPh>
    <phoneticPr fontId="3"/>
  </si>
  <si>
    <t>下記の通りお見積りを申し上げます。　何卒ご用命賜ります様よろしくお願い申し上げます。</t>
    <rPh sb="0" eb="2">
      <t>カキ</t>
    </rPh>
    <rPh sb="3" eb="4">
      <t>トオ</t>
    </rPh>
    <rPh sb="6" eb="8">
      <t>ミツモ</t>
    </rPh>
    <rPh sb="10" eb="11">
      <t>モウ</t>
    </rPh>
    <rPh sb="12" eb="13">
      <t>ア</t>
    </rPh>
    <rPh sb="18" eb="20">
      <t>ナニトゾ</t>
    </rPh>
    <rPh sb="21" eb="23">
      <t>ヨウメイ</t>
    </rPh>
    <rPh sb="23" eb="24">
      <t>タマワ</t>
    </rPh>
    <rPh sb="27" eb="28">
      <t>ヨウ</t>
    </rPh>
    <rPh sb="33" eb="34">
      <t>ネガ</t>
    </rPh>
    <rPh sb="35" eb="36">
      <t>モウ</t>
    </rPh>
    <rPh sb="37" eb="38">
      <t>ア</t>
    </rPh>
    <phoneticPr fontId="3"/>
  </si>
  <si>
    <t>お見積金額（税込）</t>
    <rPh sb="1" eb="3">
      <t>ミツモリ</t>
    </rPh>
    <rPh sb="3" eb="5">
      <t>キンガク</t>
    </rPh>
    <rPh sb="6" eb="8">
      <t>ゼイコ</t>
    </rPh>
    <phoneticPr fontId="3"/>
  </si>
  <si>
    <t>円</t>
    <rPh sb="0" eb="1">
      <t>エン</t>
    </rPh>
    <phoneticPr fontId="3"/>
  </si>
  <si>
    <t>工事名</t>
    <rPh sb="0" eb="2">
      <t>コウジ</t>
    </rPh>
    <rPh sb="2" eb="3">
      <t>メイ</t>
    </rPh>
    <phoneticPr fontId="3"/>
  </si>
  <si>
    <t>工事場所</t>
    <rPh sb="0" eb="2">
      <t>コウジ</t>
    </rPh>
    <rPh sb="2" eb="4">
      <t>バショ</t>
    </rPh>
    <phoneticPr fontId="3"/>
  </si>
  <si>
    <t>工期</t>
    <rPh sb="0" eb="2">
      <t>コウキ</t>
    </rPh>
    <phoneticPr fontId="3"/>
  </si>
  <si>
    <t>お支払い条件</t>
    <rPh sb="1" eb="3">
      <t>シハラ</t>
    </rPh>
    <rPh sb="4" eb="6">
      <t>ジョウケン</t>
    </rPh>
    <phoneticPr fontId="3"/>
  </si>
  <si>
    <t>見積もり有効期限</t>
    <rPh sb="0" eb="2">
      <t>ミツ</t>
    </rPh>
    <rPh sb="4" eb="6">
      <t>ユウコウ</t>
    </rPh>
    <rPh sb="6" eb="8">
      <t>キゲン</t>
    </rPh>
    <phoneticPr fontId="3"/>
  </si>
  <si>
    <t>※日付は入力して下さい。</t>
    <rPh sb="1" eb="3">
      <t>ヒヅケ</t>
    </rPh>
    <rPh sb="4" eb="6">
      <t>ニュウリョク</t>
    </rPh>
    <rPh sb="8" eb="9">
      <t>クダ</t>
    </rPh>
    <phoneticPr fontId="3"/>
  </si>
  <si>
    <t>※宛名は基本情報に準じてます。変更がある場合は上書き。</t>
    <rPh sb="1" eb="3">
      <t>アテナ</t>
    </rPh>
    <rPh sb="4" eb="6">
      <t>キホン</t>
    </rPh>
    <rPh sb="6" eb="8">
      <t>ジョウホウ</t>
    </rPh>
    <rPh sb="9" eb="10">
      <t>ジュン</t>
    </rPh>
    <rPh sb="15" eb="17">
      <t>ヘンコウ</t>
    </rPh>
    <rPh sb="20" eb="22">
      <t>バアイ</t>
    </rPh>
    <rPh sb="23" eb="25">
      <t>ウワガ</t>
    </rPh>
    <phoneticPr fontId="3"/>
  </si>
  <si>
    <t>※見積書金額は内訳合計です。</t>
    <rPh sb="1" eb="4">
      <t>ミツモリショ</t>
    </rPh>
    <rPh sb="4" eb="6">
      <t>キンガク</t>
    </rPh>
    <rPh sb="7" eb="9">
      <t>ウチワケ</t>
    </rPh>
    <rPh sb="9" eb="11">
      <t>ゴウケイ</t>
    </rPh>
    <phoneticPr fontId="3"/>
  </si>
  <si>
    <t>※基本情報氏名+「様邸　改修工事」。変更がある場合は上書き。</t>
    <rPh sb="1" eb="3">
      <t>キホン</t>
    </rPh>
    <rPh sb="3" eb="5">
      <t>ジョウホウ</t>
    </rPh>
    <rPh sb="5" eb="7">
      <t>シメイ</t>
    </rPh>
    <rPh sb="9" eb="10">
      <t>サマ</t>
    </rPh>
    <rPh sb="10" eb="11">
      <t>テイ</t>
    </rPh>
    <rPh sb="12" eb="14">
      <t>カイシュウ</t>
    </rPh>
    <rPh sb="14" eb="16">
      <t>コウジ</t>
    </rPh>
    <rPh sb="18" eb="20">
      <t>ヘンコウ</t>
    </rPh>
    <rPh sb="23" eb="25">
      <t>バアイ</t>
    </rPh>
    <rPh sb="26" eb="28">
      <t>ウワガ</t>
    </rPh>
    <phoneticPr fontId="3"/>
  </si>
  <si>
    <t>※基本情報の住所。変更がある場合は上書き。</t>
    <rPh sb="1" eb="3">
      <t>キホン</t>
    </rPh>
    <rPh sb="3" eb="5">
      <t>ジョウホウ</t>
    </rPh>
    <rPh sb="6" eb="8">
      <t>ジュウショ</t>
    </rPh>
    <rPh sb="9" eb="11">
      <t>ヘンコウ</t>
    </rPh>
    <rPh sb="14" eb="16">
      <t>バアイ</t>
    </rPh>
    <rPh sb="17" eb="19">
      <t>ウワガ</t>
    </rPh>
    <phoneticPr fontId="3"/>
  </si>
  <si>
    <t>様邸　改修工事</t>
    <rPh sb="0" eb="1">
      <t>サマ</t>
    </rPh>
    <rPh sb="1" eb="2">
      <t>テイ</t>
    </rPh>
    <rPh sb="3" eb="5">
      <t>カイシュウ</t>
    </rPh>
    <rPh sb="5" eb="7">
      <t>コウジ</t>
    </rPh>
    <phoneticPr fontId="3"/>
  </si>
  <si>
    <t>責任者</t>
    <rPh sb="0" eb="3">
      <t>セキニンシャ</t>
    </rPh>
    <phoneticPr fontId="3"/>
  </si>
  <si>
    <t>担当者</t>
    <rPh sb="0" eb="3">
      <t>タントウシャ</t>
    </rPh>
    <phoneticPr fontId="3"/>
  </si>
  <si>
    <t>住宅改修に伴う工事写真</t>
    <rPh sb="0" eb="2">
      <t>ジュウタク</t>
    </rPh>
    <rPh sb="2" eb="4">
      <t>カイシュウ</t>
    </rPh>
    <rPh sb="5" eb="6">
      <t>トモナ</t>
    </rPh>
    <rPh sb="7" eb="9">
      <t>コウジ</t>
    </rPh>
    <rPh sb="9" eb="11">
      <t>シャシン</t>
    </rPh>
    <phoneticPr fontId="3"/>
  </si>
  <si>
    <t>被保険者名</t>
    <rPh sb="0" eb="4">
      <t>ヒホケンシャ</t>
    </rPh>
    <rPh sb="4" eb="5">
      <t>ナ</t>
    </rPh>
    <phoneticPr fontId="3"/>
  </si>
  <si>
    <t>①</t>
    <phoneticPr fontId="3"/>
  </si>
  <si>
    <t>　</t>
    <phoneticPr fontId="3"/>
  </si>
  <si>
    <t>改修の場所</t>
    <rPh sb="0" eb="2">
      <t>カイシュウ</t>
    </rPh>
    <rPh sb="3" eb="5">
      <t>バショ</t>
    </rPh>
    <phoneticPr fontId="3"/>
  </si>
  <si>
    <t>メ　モ</t>
    <phoneticPr fontId="3"/>
  </si>
  <si>
    <t>※完了後に確認出来ない部分は、施工中の写真を撮影し裏面に貼附してください。</t>
    <rPh sb="1" eb="3">
      <t>カンリョウ</t>
    </rPh>
    <rPh sb="3" eb="4">
      <t>ゴ</t>
    </rPh>
    <rPh sb="5" eb="7">
      <t>カクニン</t>
    </rPh>
    <rPh sb="7" eb="9">
      <t>デキ</t>
    </rPh>
    <rPh sb="11" eb="13">
      <t>ブブン</t>
    </rPh>
    <rPh sb="15" eb="18">
      <t>セコウチュウ</t>
    </rPh>
    <rPh sb="19" eb="21">
      <t>シャシン</t>
    </rPh>
    <rPh sb="22" eb="24">
      <t>サツエイ</t>
    </rPh>
    <rPh sb="25" eb="27">
      <t>ウラメン</t>
    </rPh>
    <rPh sb="28" eb="29">
      <t>ハ</t>
    </rPh>
    <rPh sb="29" eb="30">
      <t>フ</t>
    </rPh>
    <phoneticPr fontId="3"/>
  </si>
  <si>
    <t>メ　モ</t>
    <phoneticPr fontId="3"/>
  </si>
  <si>
    <t>メ　モ</t>
    <phoneticPr fontId="3"/>
  </si>
  <si>
    <t>※手すり等メートル単位の場合は単価に1メートルあたりの単価を</t>
    <rPh sb="1" eb="2">
      <t>テ</t>
    </rPh>
    <rPh sb="4" eb="5">
      <t>トウ</t>
    </rPh>
    <rPh sb="9" eb="11">
      <t>タンイ</t>
    </rPh>
    <rPh sb="12" eb="14">
      <t>バアイ</t>
    </rPh>
    <rPh sb="15" eb="17">
      <t>タンカ</t>
    </rPh>
    <rPh sb="27" eb="29">
      <t>タンカ</t>
    </rPh>
    <phoneticPr fontId="3"/>
  </si>
  <si>
    <t>入力いただけると金額が表示されます。</t>
    <rPh sb="0" eb="2">
      <t>ニュウリョク</t>
    </rPh>
    <rPh sb="8" eb="10">
      <t>キンガク</t>
    </rPh>
    <rPh sb="11" eb="13">
      <t>ヒョウジ</t>
    </rPh>
    <phoneticPr fontId="3"/>
  </si>
  <si>
    <t>例：1メートル単価が1000円で0.6ｍ使用する場合は1000×0.6＝600が金額として</t>
    <rPh sb="0" eb="1">
      <t>レイ</t>
    </rPh>
    <rPh sb="7" eb="9">
      <t>タンカ</t>
    </rPh>
    <rPh sb="14" eb="15">
      <t>エン</t>
    </rPh>
    <rPh sb="20" eb="22">
      <t>シヨウ</t>
    </rPh>
    <rPh sb="24" eb="26">
      <t>バアイ</t>
    </rPh>
    <rPh sb="40" eb="42">
      <t>キンガク</t>
    </rPh>
    <phoneticPr fontId="3"/>
  </si>
  <si>
    <t>表示されます。</t>
    <rPh sb="0" eb="2">
      <t>ヒョウジ</t>
    </rPh>
    <phoneticPr fontId="3"/>
  </si>
  <si>
    <t>※介護保険対象外がある場合は計算式を崩して使用。</t>
    <rPh sb="1" eb="3">
      <t>カイゴ</t>
    </rPh>
    <rPh sb="3" eb="5">
      <t>ホケン</t>
    </rPh>
    <rPh sb="5" eb="7">
      <t>タイショウ</t>
    </rPh>
    <rPh sb="7" eb="8">
      <t>ガイ</t>
    </rPh>
    <rPh sb="11" eb="13">
      <t>バアイ</t>
    </rPh>
    <rPh sb="14" eb="17">
      <t>ケイサンシキ</t>
    </rPh>
    <rPh sb="18" eb="19">
      <t>クズ</t>
    </rPh>
    <rPh sb="21" eb="23">
      <t>シヨウ</t>
    </rPh>
    <phoneticPr fontId="3"/>
  </si>
  <si>
    <t>お客様基本情報</t>
    <rPh sb="1" eb="3">
      <t>キャクサマ</t>
    </rPh>
    <rPh sb="3" eb="5">
      <t>キホン</t>
    </rPh>
    <rPh sb="5" eb="7">
      <t>ジョウホウ</t>
    </rPh>
    <phoneticPr fontId="3"/>
  </si>
  <si>
    <t>←入力</t>
    <rPh sb="1" eb="3">
      <t>ニュウリョク</t>
    </rPh>
    <phoneticPr fontId="3"/>
  </si>
  <si>
    <t>※見積もり有効期限は手入力</t>
    <rPh sb="1" eb="3">
      <t>ミツ</t>
    </rPh>
    <rPh sb="5" eb="7">
      <t>ユウコウ</t>
    </rPh>
    <rPh sb="7" eb="9">
      <t>キゲン</t>
    </rPh>
    <rPh sb="10" eb="11">
      <t>テ</t>
    </rPh>
    <rPh sb="11" eb="13">
      <t>ニュウリョク</t>
    </rPh>
    <phoneticPr fontId="3"/>
  </si>
  <si>
    <t>※お支払い条件は手入力</t>
    <rPh sb="2" eb="4">
      <t>シハラ</t>
    </rPh>
    <rPh sb="5" eb="7">
      <t>ジョウケン</t>
    </rPh>
    <rPh sb="8" eb="9">
      <t>テ</t>
    </rPh>
    <rPh sb="9" eb="11">
      <t>ニュウリョク</t>
    </rPh>
    <phoneticPr fontId="3"/>
  </si>
  <si>
    <t>御　見　積　書</t>
    <rPh sb="0" eb="1">
      <t>ゴ</t>
    </rPh>
    <rPh sb="2" eb="3">
      <t>ミ</t>
    </rPh>
    <rPh sb="4" eb="5">
      <t>セキ</t>
    </rPh>
    <rPh sb="6" eb="7">
      <t>ショ</t>
    </rPh>
    <phoneticPr fontId="3"/>
  </si>
  <si>
    <t>様邸</t>
    <rPh sb="0" eb="1">
      <t>サマ</t>
    </rPh>
    <rPh sb="1" eb="2">
      <t>テイ</t>
    </rPh>
    <phoneticPr fontId="3"/>
  </si>
  <si>
    <t>被保険者番号</t>
    <rPh sb="0" eb="6">
      <t>ヒホケンシャバンゴウ</t>
    </rPh>
    <phoneticPr fontId="3"/>
  </si>
  <si>
    <t>浴室</t>
    <rPh sb="0" eb="2">
      <t>ヨクシツ</t>
    </rPh>
    <phoneticPr fontId="3"/>
  </si>
  <si>
    <t>写真番号</t>
    <rPh sb="0" eb="4">
      <t>シャシンバンゴウ</t>
    </rPh>
    <phoneticPr fontId="3"/>
  </si>
  <si>
    <t>①</t>
    <phoneticPr fontId="3"/>
  </si>
  <si>
    <t>改修の内容</t>
    <rPh sb="0" eb="2">
      <t>カイシュウ</t>
    </rPh>
    <rPh sb="3" eb="5">
      <t>ナイヨウ</t>
    </rPh>
    <phoneticPr fontId="3"/>
  </si>
  <si>
    <t>引き戸等への扉の取替え</t>
    <rPh sb="0" eb="1">
      <t>ヒ</t>
    </rPh>
    <rPh sb="2" eb="3">
      <t>ド</t>
    </rPh>
    <rPh sb="3" eb="4">
      <t>ナド</t>
    </rPh>
    <rPh sb="6" eb="7">
      <t>トビラ</t>
    </rPh>
    <rPh sb="8" eb="9">
      <t>ト</t>
    </rPh>
    <rPh sb="9" eb="10">
      <t>カ</t>
    </rPh>
    <phoneticPr fontId="3"/>
  </si>
  <si>
    <t>メ　モ</t>
    <phoneticPr fontId="3"/>
  </si>
  <si>
    <t>改修前のイメージ図</t>
    <rPh sb="0" eb="2">
      <t>カイシュウ</t>
    </rPh>
    <rPh sb="2" eb="3">
      <t>マエ</t>
    </rPh>
    <rPh sb="8" eb="9">
      <t>ズ</t>
    </rPh>
    <phoneticPr fontId="3"/>
  </si>
  <si>
    <t>メ　モ</t>
    <phoneticPr fontId="3"/>
  </si>
  <si>
    <t>改修後の写真</t>
    <rPh sb="0" eb="2">
      <t>カイシュウ</t>
    </rPh>
    <rPh sb="2" eb="3">
      <t>ゴ</t>
    </rPh>
    <rPh sb="4" eb="6">
      <t>シャシン</t>
    </rPh>
    <phoneticPr fontId="3"/>
  </si>
  <si>
    <t>手すりの取付</t>
    <rPh sb="0" eb="1">
      <t>テ</t>
    </rPh>
    <rPh sb="4" eb="6">
      <t>トリツケ</t>
    </rPh>
    <phoneticPr fontId="3"/>
  </si>
  <si>
    <t>②</t>
    <phoneticPr fontId="3"/>
  </si>
  <si>
    <t>③</t>
    <phoneticPr fontId="3"/>
  </si>
  <si>
    <t>④</t>
    <phoneticPr fontId="3"/>
  </si>
  <si>
    <t>⑤</t>
    <phoneticPr fontId="3"/>
  </si>
  <si>
    <t>⑥</t>
    <phoneticPr fontId="3"/>
  </si>
  <si>
    <t>トイレ</t>
    <phoneticPr fontId="3"/>
  </si>
  <si>
    <t>①　工　事　費　見　積　書（仕入金額）</t>
    <rPh sb="14" eb="18">
      <t>シイレキンガク</t>
    </rPh>
    <phoneticPr fontId="3"/>
  </si>
  <si>
    <t>□資格・認定（　　　　　→　　　　　）</t>
    <rPh sb="1" eb="3">
      <t>シカク</t>
    </rPh>
    <rPh sb="4" eb="6">
      <t>ニンテイ</t>
    </rPh>
    <phoneticPr fontId="3"/>
  </si>
  <si>
    <t>現住居　□無　□有（既支給額　　　　　　　）</t>
    <phoneticPr fontId="3"/>
  </si>
  <si>
    <t>受付者</t>
    <rPh sb="0" eb="2">
      <t>ウケツケ</t>
    </rPh>
    <rPh sb="2" eb="3">
      <t>シャ</t>
    </rPh>
    <phoneticPr fontId="3"/>
  </si>
  <si>
    <t>資格・介護認定</t>
    <rPh sb="0" eb="2">
      <t>シカク</t>
    </rPh>
    <rPh sb="3" eb="5">
      <t>ヨウカイゴ</t>
    </rPh>
    <rPh sb="5" eb="7">
      <t>ニンテイ</t>
    </rPh>
    <phoneticPr fontId="3"/>
  </si>
  <si>
    <t>既支給実績</t>
    <rPh sb="0" eb="1">
      <t>キ</t>
    </rPh>
    <rPh sb="1" eb="3">
      <t>シキュウ</t>
    </rPh>
    <rPh sb="3" eb="5">
      <t>ジッセキ</t>
    </rPh>
    <phoneticPr fontId="3"/>
  </si>
  <si>
    <t>　□無　□有（償還払・差止・給付率）・期間（　　　    ～　  　  　）</t>
    <phoneticPr fontId="3"/>
  </si>
  <si>
    <t>滞　納　　□無　　□有</t>
    <phoneticPr fontId="3"/>
  </si>
  <si>
    <t>給　付　制　限</t>
    <rPh sb="0" eb="1">
      <t>キュウ</t>
    </rPh>
    <rPh sb="2" eb="3">
      <t>ヅケ</t>
    </rPh>
    <rPh sb="4" eb="5">
      <t>セイ</t>
    </rPh>
    <rPh sb="6" eb="7">
      <t>キリ</t>
    </rPh>
    <phoneticPr fontId="3"/>
  </si>
  <si>
    <t>保険料納付状況</t>
    <phoneticPr fontId="3"/>
  </si>
  <si>
    <t>□証記載住所　□それ以外</t>
    <rPh sb="1" eb="2">
      <t>ショウ</t>
    </rPh>
    <rPh sb="2" eb="4">
      <t>キサイ</t>
    </rPh>
    <rPh sb="4" eb="6">
      <t>ジュウショ</t>
    </rPh>
    <rPh sb="10" eb="12">
      <t>イガイ</t>
    </rPh>
    <phoneticPr fontId="3"/>
  </si>
  <si>
    <t>　□改修前の写真　　□図面</t>
    <phoneticPr fontId="3"/>
  </si>
  <si>
    <t>受付印</t>
    <rPh sb="0" eb="2">
      <t>ウケツケ</t>
    </rPh>
    <rPh sb="2" eb="3">
      <t>イン</t>
    </rPh>
    <phoneticPr fontId="3"/>
  </si>
  <si>
    <t>改修を行う住宅</t>
    <rPh sb="0" eb="2">
      <t>カイシュウ</t>
    </rPh>
    <rPh sb="3" eb="4">
      <t>オコナ</t>
    </rPh>
    <rPh sb="5" eb="7">
      <t>ジュウタク</t>
    </rPh>
    <phoneticPr fontId="3"/>
  </si>
  <si>
    <t>　□所有者承諾書　　□理由書（資格証明付）　□見積書等　　　　</t>
    <phoneticPr fontId="3"/>
  </si>
  <si>
    <t>保　険　者　処　理　欄</t>
    <rPh sb="0" eb="1">
      <t>タモツ</t>
    </rPh>
    <rPh sb="2" eb="3">
      <t>ケン</t>
    </rPh>
    <rPh sb="4" eb="5">
      <t>シャ</t>
    </rPh>
    <rPh sb="6" eb="7">
      <t>トコロ</t>
    </rPh>
    <rPh sb="8" eb="9">
      <t>リ</t>
    </rPh>
    <rPh sb="10" eb="11">
      <t>ラン</t>
    </rPh>
    <phoneticPr fontId="3"/>
  </si>
  <si>
    <t>（電話　　　　　　　－　　　　　　　　　　）</t>
    <rPh sb="1" eb="3">
      <t>デンワ</t>
    </rPh>
    <phoneticPr fontId="3"/>
  </si>
  <si>
    <t>日中の連絡先</t>
    <rPh sb="0" eb="2">
      <t>ニッチュウ</t>
    </rPh>
    <rPh sb="3" eb="6">
      <t>レンラクサキ</t>
    </rPh>
    <phoneticPr fontId="3"/>
  </si>
  <si>
    <t>氏　　名</t>
  </si>
  <si>
    <t>　　</t>
    <phoneticPr fontId="3"/>
  </si>
  <si>
    <t>住　　所</t>
  </si>
  <si>
    <t>申請者　</t>
    <rPh sb="0" eb="3">
      <t>シンセイシャ</t>
    </rPh>
    <phoneticPr fontId="3"/>
  </si>
  <si>
    <t>区長</t>
    <rPh sb="0" eb="2">
      <t>クチョウ</t>
    </rPh>
    <phoneticPr fontId="3"/>
  </si>
  <si>
    <t>福岡市</t>
    <rPh sb="0" eb="3">
      <t>フクオカシ</t>
    </rPh>
    <phoneticPr fontId="3"/>
  </si>
  <si>
    <t>　（あて先）</t>
    <rPh sb="2" eb="5">
      <t>アテサキ</t>
    </rPh>
    <phoneticPr fontId="3"/>
  </si>
  <si>
    <t>　令和　　　年　　　月　　　日</t>
    <rPh sb="1" eb="3">
      <t>レイワ</t>
    </rPh>
    <rPh sb="6" eb="7">
      <t>ネン</t>
    </rPh>
    <rPh sb="10" eb="11">
      <t>ツキ</t>
    </rPh>
    <rPh sb="14" eb="15">
      <t>ヒ</t>
    </rPh>
    <phoneticPr fontId="3"/>
  </si>
  <si>
    <t>　上記のとおり住宅改修を行いたいので，関係書類を添えて申請します。</t>
    <rPh sb="1" eb="3">
      <t>ジョウキ</t>
    </rPh>
    <rPh sb="7" eb="9">
      <t>ジュウタク</t>
    </rPh>
    <rPh sb="9" eb="11">
      <t>カイシュウ</t>
    </rPh>
    <rPh sb="12" eb="13">
      <t>オコナ</t>
    </rPh>
    <rPh sb="27" eb="29">
      <t>シンセイ</t>
    </rPh>
    <phoneticPr fontId="3"/>
  </si>
  <si>
    <t>１．利用する　 ２．利用しない</t>
    <phoneticPr fontId="3"/>
  </si>
  <si>
    <t>住宅改造助成事業</t>
    <phoneticPr fontId="3"/>
  </si>
  <si>
    <t>住宅改修費の受領委任払</t>
    <rPh sb="0" eb="2">
      <t>ジュウタク</t>
    </rPh>
    <rPh sb="2" eb="5">
      <t>カイシュウヒ</t>
    </rPh>
    <rPh sb="6" eb="8">
      <t>ジュリョウ</t>
    </rPh>
    <rPh sb="8" eb="10">
      <t>イニン</t>
    </rPh>
    <rPh sb="10" eb="11">
      <t>バラ</t>
    </rPh>
    <phoneticPr fontId="3"/>
  </si>
  <si>
    <t>改修施工者</t>
    <rPh sb="0" eb="2">
      <t>カイシュウ</t>
    </rPh>
    <phoneticPr fontId="3"/>
  </si>
  <si>
    <t>既に支給済の
10/9,10/8又は10/7の額</t>
    <rPh sb="0" eb="1">
      <t>スデ</t>
    </rPh>
    <rPh sb="2" eb="4">
      <t>シキュウ</t>
    </rPh>
    <rPh sb="4" eb="5">
      <t>ズミ</t>
    </rPh>
    <rPh sb="16" eb="17">
      <t>マタ</t>
    </rPh>
    <rPh sb="23" eb="24">
      <t>ガク</t>
    </rPh>
    <phoneticPr fontId="3"/>
  </si>
  <si>
    <t>改修予定費用</t>
    <rPh sb="0" eb="2">
      <t>カイシュウ</t>
    </rPh>
    <rPh sb="2" eb="4">
      <t>ヨテイ</t>
    </rPh>
    <phoneticPr fontId="3"/>
  </si>
  <si>
    <t>　　　　年　　　月　　　日頃</t>
    <rPh sb="4" eb="5">
      <t>ネン</t>
    </rPh>
    <rPh sb="8" eb="9">
      <t>ガツ</t>
    </rPh>
    <rPh sb="12" eb="13">
      <t>ニチ</t>
    </rPh>
    <rPh sb="13" eb="14">
      <t>ゴロ</t>
    </rPh>
    <phoneticPr fontId="3"/>
  </si>
  <si>
    <t>着工予定日</t>
    <rPh sb="0" eb="2">
      <t>チャッコウ</t>
    </rPh>
    <rPh sb="2" eb="5">
      <t>ヨテイビ</t>
    </rPh>
    <phoneticPr fontId="3"/>
  </si>
  <si>
    <t>在宅　　・　　入院（入所)中</t>
    <rPh sb="0" eb="2">
      <t>ザイタク</t>
    </rPh>
    <rPh sb="7" eb="9">
      <t>ニュウイン</t>
    </rPh>
    <rPh sb="10" eb="12">
      <t>ニュウショ</t>
    </rPh>
    <rPh sb="13" eb="14">
      <t>チュウ</t>
    </rPh>
    <phoneticPr fontId="3"/>
  </si>
  <si>
    <t>被保険者の状況</t>
    <rPh sb="0" eb="4">
      <t>ヒホケンシャ</t>
    </rPh>
    <rPh sb="5" eb="7">
      <t>ジョウキョウ</t>
    </rPh>
    <phoneticPr fontId="3"/>
  </si>
  <si>
    <t>）</t>
    <phoneticPr fontId="3"/>
  </si>
  <si>
    <t xml:space="preserve">   本人との続柄　（　　　　　　　　　　　　</t>
    <rPh sb="3" eb="5">
      <t>ホンニン</t>
    </rPh>
    <rPh sb="7" eb="9">
      <t>ツヅキガラ</t>
    </rPh>
    <phoneticPr fontId="3"/>
  </si>
  <si>
    <t>住宅の所有者</t>
    <rPh sb="0" eb="2">
      <t>ジュウタク</t>
    </rPh>
    <rPh sb="3" eb="6">
      <t>ショユウシャ</t>
    </rPh>
    <phoneticPr fontId="3"/>
  </si>
  <si>
    <t>洋式便器等への取替え</t>
    <rPh sb="0" eb="2">
      <t>ヨウシキ</t>
    </rPh>
    <rPh sb="2" eb="4">
      <t>ベンキ</t>
    </rPh>
    <rPh sb="4" eb="5">
      <t>トウ</t>
    </rPh>
    <rPh sb="7" eb="9">
      <t>トリカ</t>
    </rPh>
    <phoneticPr fontId="3"/>
  </si>
  <si>
    <t>※太枠欄のみ記入してください。</t>
    <rPh sb="1" eb="2">
      <t>フト</t>
    </rPh>
    <rPh sb="2" eb="3">
      <t>ワク</t>
    </rPh>
    <rPh sb="3" eb="4">
      <t>ラン</t>
    </rPh>
    <rPh sb="6" eb="8">
      <t>キニュウ</t>
    </rPh>
    <phoneticPr fontId="3"/>
  </si>
  <si>
    <t>引き戸等への扉の取替え</t>
    <rPh sb="0" eb="3">
      <t>ヒキド</t>
    </rPh>
    <rPh sb="3" eb="4">
      <t>トウ</t>
    </rPh>
    <rPh sb="6" eb="7">
      <t>トビラ</t>
    </rPh>
    <rPh sb="8" eb="10">
      <t>トリカ</t>
    </rPh>
    <phoneticPr fontId="3"/>
  </si>
  <si>
    <t>床又は通路面の材料変更</t>
    <rPh sb="0" eb="1">
      <t>ユカ</t>
    </rPh>
    <rPh sb="1" eb="2">
      <t>マタ</t>
    </rPh>
    <rPh sb="3" eb="5">
      <t>ツウロ</t>
    </rPh>
    <rPh sb="5" eb="6">
      <t>メン</t>
    </rPh>
    <rPh sb="7" eb="9">
      <t>ザイリョウ</t>
    </rPh>
    <rPh sb="9" eb="11">
      <t>ヘンコウ</t>
    </rPh>
    <phoneticPr fontId="3"/>
  </si>
  <si>
    <t>段差の解消</t>
    <rPh sb="0" eb="2">
      <t>ダンサ</t>
    </rPh>
    <rPh sb="3" eb="5">
      <t>カイショウ</t>
    </rPh>
    <phoneticPr fontId="3"/>
  </si>
  <si>
    <t>手すりの取付け</t>
    <rPh sb="0" eb="1">
      <t>テ</t>
    </rPh>
    <rPh sb="4" eb="6">
      <t>トリツ</t>
    </rPh>
    <phoneticPr fontId="3"/>
  </si>
  <si>
    <t>　改　修　箇　所　（規模・数量等）</t>
    <rPh sb="1" eb="2">
      <t>アラタ</t>
    </rPh>
    <rPh sb="3" eb="4">
      <t>オサム</t>
    </rPh>
    <rPh sb="5" eb="6">
      <t>カ</t>
    </rPh>
    <rPh sb="7" eb="8">
      <t>ショ</t>
    </rPh>
    <rPh sb="10" eb="12">
      <t>キボ</t>
    </rPh>
    <rPh sb="13" eb="15">
      <t>スウリョウ</t>
    </rPh>
    <rPh sb="15" eb="16">
      <t>トウ</t>
    </rPh>
    <phoneticPr fontId="3"/>
  </si>
  <si>
    <t>日</t>
    <phoneticPr fontId="3"/>
  </si>
  <si>
    <t>月</t>
    <phoneticPr fontId="3"/>
  </si>
  <si>
    <t>年</t>
    <rPh sb="0" eb="1">
      <t>ネン</t>
    </rPh>
    <phoneticPr fontId="3"/>
  </si>
  <si>
    <t>明・大・昭　　　　　　　　　　　　</t>
    <rPh sb="0" eb="1">
      <t>メイ</t>
    </rPh>
    <rPh sb="2" eb="3">
      <t>ダイ</t>
    </rPh>
    <rPh sb="4" eb="5">
      <t>ショウワ</t>
    </rPh>
    <phoneticPr fontId="3"/>
  </si>
  <si>
    <t>生年月日</t>
    <rPh sb="0" eb="2">
      <t>セイネン</t>
    </rPh>
    <rPh sb="2" eb="4">
      <t>ガッピ</t>
    </rPh>
    <phoneticPr fontId="3"/>
  </si>
  <si>
    <t>被保険者証     番号</t>
    <rPh sb="0" eb="4">
      <t>ヒホケンシャ</t>
    </rPh>
    <rPh sb="4" eb="5">
      <t>ショウ</t>
    </rPh>
    <rPh sb="10" eb="12">
      <t>バンゴウ</t>
    </rPh>
    <phoneticPr fontId="3"/>
  </si>
  <si>
    <t>氏名</t>
    <rPh sb="0" eb="2">
      <t>シメイ</t>
    </rPh>
    <phoneticPr fontId="3"/>
  </si>
  <si>
    <t>保険者番号</t>
    <rPh sb="0" eb="3">
      <t>ホケンシャ</t>
    </rPh>
    <phoneticPr fontId="3"/>
  </si>
  <si>
    <t>フリガナ</t>
    <phoneticPr fontId="3"/>
  </si>
  <si>
    <t>被保険者</t>
    <rPh sb="0" eb="4">
      <t>ヒホケンシャ</t>
    </rPh>
    <phoneticPr fontId="3"/>
  </si>
  <si>
    <t>介護保険住宅改修費支給申請書</t>
    <rPh sb="8" eb="9">
      <t>ヒ</t>
    </rPh>
    <rPh sb="9" eb="11">
      <t>シキュウ</t>
    </rPh>
    <rPh sb="11" eb="13">
      <t>シンセイ</t>
    </rPh>
    <rPh sb="13" eb="14">
      <t>ショ</t>
    </rPh>
    <phoneticPr fontId="3"/>
  </si>
  <si>
    <t>受付番号</t>
    <rPh sb="0" eb="2">
      <t>ウケツケ</t>
    </rPh>
    <rPh sb="2" eb="4">
      <t>バンゴウ</t>
    </rPh>
    <phoneticPr fontId="3"/>
  </si>
  <si>
    <t>様式第21号</t>
    <rPh sb="0" eb="2">
      <t>ヨウシキ</t>
    </rPh>
    <rPh sb="2" eb="3">
      <t>ダイ</t>
    </rPh>
    <rPh sb="5" eb="6">
      <t>ゴウ</t>
    </rPh>
    <phoneticPr fontId="3"/>
  </si>
  <si>
    <t>令和　　　年　　　月　　　日</t>
    <rPh sb="0" eb="2">
      <t>レイワ</t>
    </rPh>
    <phoneticPr fontId="3"/>
  </si>
  <si>
    <t>支　給</t>
    <rPh sb="0" eb="1">
      <t>ササ</t>
    </rPh>
    <rPh sb="2" eb="3">
      <t>キュウ</t>
    </rPh>
    <phoneticPr fontId="3"/>
  </si>
  <si>
    <t>決定通知</t>
    <rPh sb="0" eb="2">
      <t>ケッテイ</t>
    </rPh>
    <phoneticPr fontId="3"/>
  </si>
  <si>
    <t>不支給</t>
    <rPh sb="0" eb="1">
      <t>フ</t>
    </rPh>
    <rPh sb="1" eb="3">
      <t>シキュウ</t>
    </rPh>
    <phoneticPr fontId="3"/>
  </si>
  <si>
    <t>決　裁</t>
    <phoneticPr fontId="3"/>
  </si>
  <si>
    <t>起　案</t>
    <phoneticPr fontId="3"/>
  </si>
  <si>
    <t>支給</t>
    <rPh sb="0" eb="2">
      <t>シキュウ</t>
    </rPh>
    <phoneticPr fontId="3"/>
  </si>
  <si>
    <t>受　付</t>
  </si>
  <si>
    <t>係　員</t>
  </si>
  <si>
    <t>係　長</t>
  </si>
  <si>
    <t>課　長</t>
  </si>
  <si>
    <t>決　裁</t>
  </si>
  <si>
    <t>事業者番号（受領委任)</t>
    <rPh sb="0" eb="3">
      <t>ジギョウシャ</t>
    </rPh>
    <rPh sb="3" eb="5">
      <t>バンゴウ</t>
    </rPh>
    <rPh sb="6" eb="8">
      <t>ジュリョウ</t>
    </rPh>
    <rPh sb="8" eb="10">
      <t>イニン</t>
    </rPh>
    <phoneticPr fontId="3"/>
  </si>
  <si>
    <t>資格・介護認定</t>
    <phoneticPr fontId="3"/>
  </si>
  <si>
    <t>D</t>
    <phoneticPr fontId="3"/>
  </si>
  <si>
    <t>ＡまたはＣの　　　　　　　　　　　　　いずれか低い額</t>
    <rPh sb="23" eb="24">
      <t>ヒク</t>
    </rPh>
    <rPh sb="25" eb="26">
      <t>ガク</t>
    </rPh>
    <phoneticPr fontId="3"/>
  </si>
  <si>
    <t>保険給付対象額</t>
    <rPh sb="0" eb="2">
      <t>ホケン</t>
    </rPh>
    <rPh sb="2" eb="4">
      <t>キュウフ</t>
    </rPh>
    <rPh sb="4" eb="7">
      <t>タイショウガク</t>
    </rPh>
    <phoneticPr fontId="3"/>
  </si>
  <si>
    <t>□証記載住所　□それ以外</t>
    <phoneticPr fontId="3"/>
  </si>
  <si>
    <t>Ｃ</t>
    <phoneticPr fontId="3"/>
  </si>
  <si>
    <t>支給限度基準額の残額（２０万円－Ｂ）</t>
    <rPh sb="0" eb="2">
      <t>クブンシキュウ</t>
    </rPh>
    <rPh sb="2" eb="4">
      <t>ゲンド</t>
    </rPh>
    <rPh sb="4" eb="7">
      <t>キジュンガク</t>
    </rPh>
    <rPh sb="8" eb="10">
      <t>ザンガク</t>
    </rPh>
    <rPh sb="13" eb="15">
      <t>マンエン</t>
    </rPh>
    <phoneticPr fontId="3"/>
  </si>
  <si>
    <t>改修を行う住宅</t>
    <phoneticPr fontId="3"/>
  </si>
  <si>
    <t>受付年月日</t>
    <rPh sb="0" eb="2">
      <t>ウケツケ</t>
    </rPh>
    <rPh sb="2" eb="5">
      <t>ネンガッピ</t>
    </rPh>
    <phoneticPr fontId="3"/>
  </si>
  <si>
    <t>Ｂ</t>
    <phoneticPr fontId="3"/>
  </si>
  <si>
    <t>　既に支給した住宅改修費の額
（　　　　　　　　　円）の（　　　　　）分の１００の額</t>
    <rPh sb="7" eb="9">
      <t>ジュウタク</t>
    </rPh>
    <rPh sb="9" eb="11">
      <t>カイシュウ</t>
    </rPh>
    <phoneticPr fontId="3"/>
  </si>
  <si>
    <t>滞納　　□無　　□有</t>
    <phoneticPr fontId="3"/>
  </si>
  <si>
    <t>□無　□有（償還払・差止・給付率）</t>
    <phoneticPr fontId="3"/>
  </si>
  <si>
    <t>Ａ</t>
    <phoneticPr fontId="3"/>
  </si>
  <si>
    <t>今回改修総費用査定額（20万円を限度）</t>
    <rPh sb="0" eb="2">
      <t>コンカイ</t>
    </rPh>
    <rPh sb="2" eb="4">
      <t>カイシュウ</t>
    </rPh>
    <rPh sb="4" eb="5">
      <t>ソウ</t>
    </rPh>
    <rPh sb="5" eb="7">
      <t>ヒヨウ</t>
    </rPh>
    <rPh sb="7" eb="9">
      <t>サテイ</t>
    </rPh>
    <rPh sb="9" eb="10">
      <t>ガク</t>
    </rPh>
    <rPh sb="13" eb="15">
      <t>マンエン</t>
    </rPh>
    <rPh sb="16" eb="18">
      <t>ゲンド</t>
    </rPh>
    <phoneticPr fontId="3"/>
  </si>
  <si>
    <t>給付制限</t>
    <rPh sb="0" eb="2">
      <t>キュウフセイ</t>
    </rPh>
    <rPh sb="2" eb="4">
      <t>セイゲン</t>
    </rPh>
    <phoneticPr fontId="3"/>
  </si>
  <si>
    <t>振込先
金融機関</t>
    <rPh sb="0" eb="3">
      <t>フリコミサキ</t>
    </rPh>
    <phoneticPr fontId="3"/>
  </si>
  <si>
    <t>代表者氏名</t>
    <rPh sb="0" eb="3">
      <t>ダイヒョウシャ</t>
    </rPh>
    <rPh sb="3" eb="5">
      <t>シメイ</t>
    </rPh>
    <phoneticPr fontId="3"/>
  </si>
  <si>
    <t>名称</t>
    <rPh sb="0" eb="2">
      <t>メイショウ</t>
    </rPh>
    <phoneticPr fontId="3"/>
  </si>
  <si>
    <t>住所</t>
    <rPh sb="0" eb="2">
      <t>ジュウショ</t>
    </rPh>
    <phoneticPr fontId="3"/>
  </si>
  <si>
    <t>改修施工者（受任者）</t>
    <rPh sb="0" eb="2">
      <t>カイシュウ</t>
    </rPh>
    <rPh sb="2" eb="5">
      <t>セコウシャ</t>
    </rPh>
    <rPh sb="6" eb="9">
      <t>ジュニンシャ</t>
    </rPh>
    <phoneticPr fontId="3"/>
  </si>
  <si>
    <t>なお、上記届出に基づく、住宅改修費の受領は、下記の者に委任します。</t>
    <rPh sb="3" eb="5">
      <t>ジョウキ</t>
    </rPh>
    <rPh sb="5" eb="7">
      <t>トドケデ</t>
    </rPh>
    <rPh sb="8" eb="9">
      <t>モト</t>
    </rPh>
    <rPh sb="12" eb="14">
      <t>ジュウタク</t>
    </rPh>
    <rPh sb="14" eb="17">
      <t>カイシュウヒ</t>
    </rPh>
    <rPh sb="18" eb="20">
      <t>ジュリョウ</t>
    </rPh>
    <rPh sb="22" eb="24">
      <t>カキ</t>
    </rPh>
    <rPh sb="25" eb="26">
      <t>モノ</t>
    </rPh>
    <rPh sb="27" eb="29">
      <t>イニン</t>
    </rPh>
    <phoneticPr fontId="3"/>
  </si>
  <si>
    <t>氏　　名</t>
    <phoneticPr fontId="3"/>
  </si>
  <si>
    <t>住　　所</t>
    <phoneticPr fontId="3"/>
  </si>
  <si>
    <t>日</t>
    <rPh sb="0" eb="1">
      <t>ニチ</t>
    </rPh>
    <phoneticPr fontId="3"/>
  </si>
  <si>
    <t>月</t>
    <rPh sb="0" eb="1">
      <t>ガツ</t>
    </rPh>
    <phoneticPr fontId="3"/>
  </si>
  <si>
    <t>上記のとおり住宅改修が完了しましたので、関係書類を添えて届出します。</t>
    <rPh sb="0" eb="2">
      <t>ジョウキ</t>
    </rPh>
    <rPh sb="6" eb="8">
      <t>ジュウタク</t>
    </rPh>
    <rPh sb="8" eb="10">
      <t>カイシュウ</t>
    </rPh>
    <rPh sb="11" eb="13">
      <t>カンリョウ</t>
    </rPh>
    <rPh sb="20" eb="22">
      <t>カンケイ</t>
    </rPh>
    <rPh sb="22" eb="24">
      <t>ショルイ</t>
    </rPh>
    <rPh sb="25" eb="26">
      <t>ソ</t>
    </rPh>
    <rPh sb="28" eb="30">
      <t>トドケデ</t>
    </rPh>
    <phoneticPr fontId="3"/>
  </si>
  <si>
    <t>完　成　日</t>
    <rPh sb="0" eb="1">
      <t>カン</t>
    </rPh>
    <rPh sb="2" eb="3">
      <t>シゲル</t>
    </rPh>
    <rPh sb="4" eb="5">
      <t>ビ</t>
    </rPh>
    <phoneticPr fontId="3"/>
  </si>
  <si>
    <t>改修費用</t>
    <rPh sb="0" eb="2">
      <t>カイシュウ</t>
    </rPh>
    <rPh sb="3" eb="4">
      <t>ヨウ</t>
    </rPh>
    <phoneticPr fontId="3"/>
  </si>
  <si>
    <t>着　工　日</t>
    <rPh sb="0" eb="1">
      <t>キ</t>
    </rPh>
    <rPh sb="2" eb="3">
      <t>コウ</t>
    </rPh>
    <rPh sb="4" eb="5">
      <t>ヒ</t>
    </rPh>
    <phoneticPr fontId="3"/>
  </si>
  <si>
    <t>※着工前に住宅改修費支給申請書の提出が必要です。</t>
    <rPh sb="1" eb="4">
      <t>チャッコウマエ</t>
    </rPh>
    <rPh sb="5" eb="7">
      <t>ジュウタク</t>
    </rPh>
    <rPh sb="7" eb="10">
      <t>カイシュウヒ</t>
    </rPh>
    <rPh sb="10" eb="12">
      <t>シキュウ</t>
    </rPh>
    <rPh sb="12" eb="15">
      <t>シンセイショ</t>
    </rPh>
    <rPh sb="16" eb="18">
      <t>テイシュツ</t>
    </rPh>
    <rPh sb="19" eb="21">
      <t>ヒツヨウ</t>
    </rPh>
    <phoneticPr fontId="3"/>
  </si>
  <si>
    <t>日</t>
    <rPh sb="0" eb="1">
      <t>ヒ</t>
    </rPh>
    <phoneticPr fontId="3"/>
  </si>
  <si>
    <t>明・大・昭</t>
    <rPh sb="0" eb="1">
      <t>メイ</t>
    </rPh>
    <rPh sb="2" eb="3">
      <t>ダイ</t>
    </rPh>
    <rPh sb="4" eb="5">
      <t>ショウワ</t>
    </rPh>
    <phoneticPr fontId="3"/>
  </si>
  <si>
    <t>介護保険住宅改修完了届出書【受領委任払用】</t>
    <rPh sb="8" eb="10">
      <t>カンリョウ</t>
    </rPh>
    <rPh sb="10" eb="12">
      <t>トドケデ</t>
    </rPh>
    <rPh sb="12" eb="13">
      <t>ショ</t>
    </rPh>
    <rPh sb="14" eb="16">
      <t>ジュリョウ</t>
    </rPh>
    <rPh sb="16" eb="18">
      <t>イニン</t>
    </rPh>
    <rPh sb="18" eb="19">
      <t>バラ</t>
    </rPh>
    <rPh sb="19" eb="20">
      <t>ヨウ</t>
    </rPh>
    <phoneticPr fontId="3"/>
  </si>
  <si>
    <t>様式第22号の２</t>
    <rPh sb="0" eb="2">
      <t>ヨウシキ</t>
    </rPh>
    <rPh sb="2" eb="3">
      <t>ダイ</t>
    </rPh>
    <rPh sb="5" eb="6">
      <t>ゴウ</t>
    </rPh>
    <phoneticPr fontId="3"/>
  </si>
  <si>
    <t>フリガナ：</t>
    <phoneticPr fontId="3"/>
  </si>
  <si>
    <t>確認年月日</t>
    <rPh sb="0" eb="2">
      <t>カクニン</t>
    </rPh>
    <rPh sb="2" eb="5">
      <t>ネンガッピ</t>
    </rPh>
    <phoneticPr fontId="3"/>
  </si>
  <si>
    <t>介護支援専門員証　　・　　運転免許証　　・　　その他（　　　　　　　　　　　　）</t>
    <rPh sb="0" eb="2">
      <t>カイゴ</t>
    </rPh>
    <rPh sb="2" eb="4">
      <t>シエン</t>
    </rPh>
    <rPh sb="4" eb="7">
      <t>センモンイン</t>
    </rPh>
    <rPh sb="7" eb="8">
      <t>ショウ</t>
    </rPh>
    <rPh sb="13" eb="15">
      <t>ウンテン</t>
    </rPh>
    <rPh sb="15" eb="18">
      <t>メンキョショウ</t>
    </rPh>
    <rPh sb="25" eb="26">
      <t>タ</t>
    </rPh>
    <phoneticPr fontId="3"/>
  </si>
  <si>
    <t>確　認　資　料</t>
    <rPh sb="0" eb="1">
      <t>カク</t>
    </rPh>
    <rPh sb="2" eb="3">
      <t>ニン</t>
    </rPh>
    <rPh sb="4" eb="5">
      <t>シ</t>
    </rPh>
    <rPh sb="6" eb="7">
      <t>リョウ</t>
    </rPh>
    <phoneticPr fontId="3"/>
  </si>
  <si>
    <t>【代理人本人確認】</t>
    <rPh sb="1" eb="4">
      <t>ダイリニン</t>
    </rPh>
    <rPh sb="4" eb="6">
      <t>ホンニン</t>
    </rPh>
    <rPh sb="6" eb="8">
      <t>カクニン</t>
    </rPh>
    <phoneticPr fontId="3"/>
  </si>
  <si>
    <t>点線以下、記載不要</t>
    <rPh sb="0" eb="2">
      <t>テンセン</t>
    </rPh>
    <rPh sb="2" eb="4">
      <t>イカ</t>
    </rPh>
    <rPh sb="5" eb="7">
      <t>キサイ</t>
    </rPh>
    <rPh sb="7" eb="9">
      <t>フヨウ</t>
    </rPh>
    <phoneticPr fontId="3"/>
  </si>
  <si>
    <t>申請者との関係　　住宅改修事業者</t>
    <rPh sb="0" eb="3">
      <t>シンセイシャ</t>
    </rPh>
    <rPh sb="5" eb="7">
      <t>カンケイ</t>
    </rPh>
    <rPh sb="9" eb="11">
      <t>ジュウタク</t>
    </rPh>
    <rPh sb="11" eb="13">
      <t>カイシュウ</t>
    </rPh>
    <rPh sb="13" eb="15">
      <t>ジギョウ</t>
    </rPh>
    <rPh sb="15" eb="16">
      <t>シャ</t>
    </rPh>
    <phoneticPr fontId="3"/>
  </si>
  <si>
    <t>代理人氏名　　（株）介福本舗</t>
    <rPh sb="0" eb="3">
      <t>ダイリニン</t>
    </rPh>
    <rPh sb="3" eb="5">
      <t>シメイ</t>
    </rPh>
    <rPh sb="7" eb="10">
      <t>カブ</t>
    </rPh>
    <rPh sb="10" eb="11">
      <t>カイ</t>
    </rPh>
    <rPh sb="11" eb="12">
      <t>フク</t>
    </rPh>
    <rPh sb="12" eb="14">
      <t>ホンポ</t>
    </rPh>
    <phoneticPr fontId="3"/>
  </si>
  <si>
    <t>代理人住所　　福岡市西区小戸１－１６－２４</t>
    <rPh sb="0" eb="2">
      <t>ダイリ</t>
    </rPh>
    <rPh sb="2" eb="3">
      <t>ニン</t>
    </rPh>
    <rPh sb="3" eb="5">
      <t>ジュウショ</t>
    </rPh>
    <rPh sb="7" eb="10">
      <t>フクオカシ</t>
    </rPh>
    <rPh sb="10" eb="12">
      <t>ニシク</t>
    </rPh>
    <rPh sb="12" eb="14">
      <t>オド</t>
    </rPh>
    <phoneticPr fontId="3"/>
  </si>
  <si>
    <t>私は、介護保険住宅改修に係る申請書の提出代行を、下記のものに依頼しましたので、申請に必要な範囲で、下記の者に私の介護保険の資格に関する事項、当該給付の状況、給付制限に関する事項について確認させることに同意します。</t>
    <rPh sb="0" eb="1">
      <t>ワタシ</t>
    </rPh>
    <rPh sb="3" eb="5">
      <t>カイゴ</t>
    </rPh>
    <rPh sb="5" eb="7">
      <t>ホケン</t>
    </rPh>
    <rPh sb="7" eb="9">
      <t>ジュウタク</t>
    </rPh>
    <rPh sb="9" eb="11">
      <t>カイシュウ</t>
    </rPh>
    <rPh sb="12" eb="13">
      <t>カカ</t>
    </rPh>
    <rPh sb="14" eb="16">
      <t>シンセイ</t>
    </rPh>
    <rPh sb="16" eb="17">
      <t>ショ</t>
    </rPh>
    <rPh sb="18" eb="20">
      <t>テイシュツ</t>
    </rPh>
    <rPh sb="20" eb="22">
      <t>ダイコウ</t>
    </rPh>
    <rPh sb="24" eb="26">
      <t>カキ</t>
    </rPh>
    <rPh sb="30" eb="32">
      <t>イライ</t>
    </rPh>
    <rPh sb="39" eb="41">
      <t>シンセイ</t>
    </rPh>
    <rPh sb="42" eb="44">
      <t>ヒツヨウ</t>
    </rPh>
    <rPh sb="45" eb="47">
      <t>ハンイ</t>
    </rPh>
    <rPh sb="49" eb="51">
      <t>カキ</t>
    </rPh>
    <rPh sb="52" eb="53">
      <t>モノ</t>
    </rPh>
    <rPh sb="54" eb="55">
      <t>ワタシ</t>
    </rPh>
    <rPh sb="56" eb="58">
      <t>カイゴ</t>
    </rPh>
    <rPh sb="58" eb="60">
      <t>ホケン</t>
    </rPh>
    <rPh sb="61" eb="63">
      <t>シカク</t>
    </rPh>
    <rPh sb="64" eb="65">
      <t>カン</t>
    </rPh>
    <rPh sb="67" eb="69">
      <t>ジコウ</t>
    </rPh>
    <rPh sb="70" eb="72">
      <t>トウガイ</t>
    </rPh>
    <rPh sb="72" eb="74">
      <t>キュウフ</t>
    </rPh>
    <rPh sb="75" eb="77">
      <t>ジョウキョウ</t>
    </rPh>
    <rPh sb="78" eb="80">
      <t>キュウフ</t>
    </rPh>
    <rPh sb="80" eb="82">
      <t>セイゲン</t>
    </rPh>
    <rPh sb="83" eb="84">
      <t>カン</t>
    </rPh>
    <rPh sb="86" eb="88">
      <t>ジコウ</t>
    </rPh>
    <rPh sb="92" eb="94">
      <t>カクニン</t>
    </rPh>
    <rPh sb="100" eb="102">
      <t>ドウイ</t>
    </rPh>
    <phoneticPr fontId="3"/>
  </si>
  <si>
    <t>※署名（自筆）の場合は押印不要</t>
    <rPh sb="1" eb="3">
      <t>ショメイ</t>
    </rPh>
    <rPh sb="4" eb="6">
      <t>ジヒツ</t>
    </rPh>
    <rPh sb="8" eb="10">
      <t>バアイ</t>
    </rPh>
    <rPh sb="11" eb="13">
      <t>オウイン</t>
    </rPh>
    <rPh sb="13" eb="15">
      <t>フヨウ</t>
    </rPh>
    <phoneticPr fontId="3"/>
  </si>
  <si>
    <t>被保険者番号</t>
    <rPh sb="0" eb="4">
      <t>ヒホケンシャ</t>
    </rPh>
    <rPh sb="4" eb="6">
      <t>バンゴウ</t>
    </rPh>
    <phoneticPr fontId="3"/>
  </si>
  <si>
    <t>申請者氏名　　</t>
    <rPh sb="0" eb="3">
      <t>シンセイシャ</t>
    </rPh>
    <rPh sb="3" eb="5">
      <t>シメイ</t>
    </rPh>
    <phoneticPr fontId="3"/>
  </si>
  <si>
    <t>申請者住所</t>
    <rPh sb="0" eb="3">
      <t>シンセイシャ</t>
    </rPh>
    <rPh sb="3" eb="5">
      <t>ジュウショ</t>
    </rPh>
    <phoneticPr fontId="3"/>
  </si>
  <si>
    <t>令和　　　年　　　月　　　日</t>
    <rPh sb="0" eb="2">
      <t>レイワ</t>
    </rPh>
    <rPh sb="5" eb="6">
      <t>ネン</t>
    </rPh>
    <rPh sb="9" eb="10">
      <t>ツキ</t>
    </rPh>
    <rPh sb="13" eb="14">
      <t>ヒ</t>
    </rPh>
    <phoneticPr fontId="3"/>
  </si>
  <si>
    <t>福岡市　　　　　　区長</t>
    <rPh sb="0" eb="3">
      <t>フクオカシ</t>
    </rPh>
    <rPh sb="9" eb="11">
      <t>クチョウ</t>
    </rPh>
    <phoneticPr fontId="3"/>
  </si>
  <si>
    <t>（あて先）</t>
    <rPh sb="3" eb="4">
      <t>サキ</t>
    </rPh>
    <phoneticPr fontId="3"/>
  </si>
  <si>
    <t>同　　　意　　　書</t>
    <rPh sb="0" eb="1">
      <t>ドウ</t>
    </rPh>
    <rPh sb="4" eb="5">
      <t>イ</t>
    </rPh>
    <rPh sb="8" eb="9">
      <t>ショ</t>
    </rPh>
    <phoneticPr fontId="3"/>
  </si>
  <si>
    <t>改修内容を了承の上、これを承諾いたしましたのでお知らせいたします。</t>
    <rPh sb="0" eb="2">
      <t>カイシュウ</t>
    </rPh>
    <rPh sb="2" eb="4">
      <t>ナイヨウ</t>
    </rPh>
    <rPh sb="5" eb="7">
      <t>リョウショウ</t>
    </rPh>
    <rPh sb="8" eb="9">
      <t>ウエ</t>
    </rPh>
    <rPh sb="13" eb="15">
      <t>ショウダク</t>
    </rPh>
    <rPh sb="24" eb="25">
      <t>シ</t>
    </rPh>
    <phoneticPr fontId="3"/>
  </si>
  <si>
    <t>入居者の身体上の理由により、介護保険の住宅改修をしたい旨の相談を受け、</t>
    <rPh sb="0" eb="3">
      <t>ニュウキョシャ</t>
    </rPh>
    <rPh sb="4" eb="6">
      <t>シンタイ</t>
    </rPh>
    <rPh sb="6" eb="7">
      <t>ジョウ</t>
    </rPh>
    <rPh sb="8" eb="10">
      <t>リユウ</t>
    </rPh>
    <rPh sb="14" eb="16">
      <t>カイゴ</t>
    </rPh>
    <rPh sb="16" eb="18">
      <t>ホケン</t>
    </rPh>
    <rPh sb="19" eb="21">
      <t>ジュウタク</t>
    </rPh>
    <rPh sb="21" eb="23">
      <t>カイシュウ</t>
    </rPh>
    <rPh sb="27" eb="28">
      <t>ムネ</t>
    </rPh>
    <rPh sb="29" eb="31">
      <t>ソウダン</t>
    </rPh>
    <rPh sb="32" eb="33">
      <t>ウ</t>
    </rPh>
    <phoneticPr fontId="3"/>
  </si>
  <si>
    <t>の住宅について</t>
    <rPh sb="1" eb="3">
      <t>ジュウタク</t>
    </rPh>
    <phoneticPr fontId="3"/>
  </si>
  <si>
    <t>が入居する</t>
    <rPh sb="1" eb="3">
      <t>ニュウキョ</t>
    </rPh>
    <phoneticPr fontId="3"/>
  </si>
  <si>
    <t>私は、私が所有し</t>
    <rPh sb="0" eb="1">
      <t>ワタシ</t>
    </rPh>
    <rPh sb="3" eb="4">
      <t>ワタシ</t>
    </rPh>
    <rPh sb="5" eb="7">
      <t>ショユウ</t>
    </rPh>
    <phoneticPr fontId="3"/>
  </si>
  <si>
    <t>-</t>
    <phoneticPr fontId="3"/>
  </si>
  <si>
    <t>（</t>
    <phoneticPr fontId="3"/>
  </si>
  <si>
    <t>連絡先</t>
    <rPh sb="0" eb="3">
      <t>レンラクサキ</t>
    </rPh>
    <phoneticPr fontId="3"/>
  </si>
  <si>
    <t>氏　名</t>
    <rPh sb="0" eb="1">
      <t>シ</t>
    </rPh>
    <rPh sb="2" eb="3">
      <t>ナ</t>
    </rPh>
    <phoneticPr fontId="3"/>
  </si>
  <si>
    <t>住　所</t>
    <rPh sb="0" eb="1">
      <t>ジュウ</t>
    </rPh>
    <rPh sb="2" eb="3">
      <t>ショ</t>
    </rPh>
    <phoneticPr fontId="3"/>
  </si>
  <si>
    <t>（住宅の所有者）</t>
    <rPh sb="1" eb="3">
      <t>ジュウタク</t>
    </rPh>
    <rPh sb="4" eb="7">
      <t>ショユウシャ</t>
    </rPh>
    <phoneticPr fontId="3"/>
  </si>
  <si>
    <t>令和　　　　年　　　　月　　　　日</t>
    <rPh sb="0" eb="2">
      <t>レイワ</t>
    </rPh>
    <rPh sb="6" eb="7">
      <t>ネン</t>
    </rPh>
    <rPh sb="11" eb="12">
      <t>ツキ</t>
    </rPh>
    <rPh sb="16" eb="17">
      <t>ヒ</t>
    </rPh>
    <phoneticPr fontId="3"/>
  </si>
  <si>
    <t>福岡市　　　区長</t>
    <rPh sb="0" eb="3">
      <t>フクオカシ</t>
    </rPh>
    <rPh sb="6" eb="8">
      <t>クチョウ</t>
    </rPh>
    <phoneticPr fontId="3"/>
  </si>
  <si>
    <t>住宅改修にかかる承諾書</t>
    <rPh sb="0" eb="2">
      <t>ジュウタク</t>
    </rPh>
    <rPh sb="2" eb="4">
      <t>カイシュウ</t>
    </rPh>
    <rPh sb="8" eb="11">
      <t>ショウダクショ</t>
    </rPh>
    <phoneticPr fontId="3"/>
  </si>
  <si>
    <t>□</t>
    <phoneticPr fontId="50"/>
  </si>
  <si>
    <t>その他</t>
    <rPh sb="2" eb="3">
      <t>タ</t>
    </rPh>
    <phoneticPr fontId="50"/>
  </si>
  <si>
    <t>092-985-0904</t>
    <phoneticPr fontId="50"/>
  </si>
  <si>
    <t>住環境コーディネーター2級</t>
    <rPh sb="0" eb="3">
      <t>ジュウカンキョウ</t>
    </rPh>
    <rPh sb="12" eb="13">
      <t>キュウ</t>
    </rPh>
    <phoneticPr fontId="50"/>
  </si>
  <si>
    <t>株式会社　介福本舗</t>
    <rPh sb="0" eb="4">
      <t>カブシキガイシャ</t>
    </rPh>
    <rPh sb="5" eb="6">
      <t>カイ</t>
    </rPh>
    <rPh sb="6" eb="7">
      <t>フク</t>
    </rPh>
    <rPh sb="7" eb="9">
      <t>ホンポ</t>
    </rPh>
    <phoneticPr fontId="50"/>
  </si>
  <si>
    <t>住宅改修が必要な理由書</t>
    <rPh sb="0" eb="2">
      <t>ジュウタク</t>
    </rPh>
    <rPh sb="2" eb="4">
      <t>カイシュウ</t>
    </rPh>
    <rPh sb="5" eb="7">
      <t>ヒツヨウ</t>
    </rPh>
    <rPh sb="8" eb="11">
      <t>リユウショ</t>
    </rPh>
    <phoneticPr fontId="50"/>
  </si>
  <si>
    <t>(　　　　　　　　　　　　　　　　)</t>
    <phoneticPr fontId="50"/>
  </si>
  <si>
    <t>その他（　　　　　　　　　　　　）</t>
    <rPh sb="2" eb="3">
      <t>タ</t>
    </rPh>
    <phoneticPr fontId="50"/>
  </si>
  <si>
    <t>介護者の負担の軽減</t>
    <rPh sb="0" eb="3">
      <t>カイゴシャ</t>
    </rPh>
    <rPh sb="4" eb="6">
      <t>フタン</t>
    </rPh>
    <rPh sb="7" eb="9">
      <t>ケイゲン</t>
    </rPh>
    <phoneticPr fontId="50"/>
  </si>
  <si>
    <t>不安の軽減</t>
    <rPh sb="0" eb="2">
      <t>フアン</t>
    </rPh>
    <rPh sb="3" eb="5">
      <t>ケイゲン</t>
    </rPh>
    <phoneticPr fontId="50"/>
  </si>
  <si>
    <t>居室の移動</t>
    <rPh sb="0" eb="2">
      <t>キョシツ</t>
    </rPh>
    <rPh sb="3" eb="5">
      <t>イドウ</t>
    </rPh>
    <phoneticPr fontId="50"/>
  </si>
  <si>
    <t>利用者の精神的負担や</t>
    <rPh sb="0" eb="3">
      <t>リヨウシャ</t>
    </rPh>
    <rPh sb="4" eb="7">
      <t>セイシンテキ</t>
    </rPh>
    <rPh sb="7" eb="9">
      <t>フタン</t>
    </rPh>
    <phoneticPr fontId="50"/>
  </si>
  <si>
    <t>屋外の敷地</t>
    <rPh sb="0" eb="2">
      <t>オクガイ</t>
    </rPh>
    <rPh sb="3" eb="5">
      <t>シキチ</t>
    </rPh>
    <phoneticPr fontId="50"/>
  </si>
  <si>
    <t>洗面室に手すりを取り付けることにより安全に出入りをできるようにする。</t>
    <rPh sb="0" eb="2">
      <t>センメン</t>
    </rPh>
    <rPh sb="2" eb="3">
      <t>シツ</t>
    </rPh>
    <rPh sb="4" eb="5">
      <t>テ</t>
    </rPh>
    <rPh sb="8" eb="9">
      <t>ト</t>
    </rPh>
    <rPh sb="10" eb="11">
      <t>ツ</t>
    </rPh>
    <rPh sb="18" eb="20">
      <t>アンゼン</t>
    </rPh>
    <rPh sb="21" eb="23">
      <t>デイ</t>
    </rPh>
    <phoneticPr fontId="50"/>
  </si>
  <si>
    <t>洗面室の出入りの際に段差があり転倒の危険性が高い。</t>
    <rPh sb="0" eb="2">
      <t>センメン</t>
    </rPh>
    <rPh sb="2" eb="3">
      <t>シツ</t>
    </rPh>
    <rPh sb="4" eb="6">
      <t>デイ</t>
    </rPh>
    <rPh sb="8" eb="9">
      <t>サイ</t>
    </rPh>
    <rPh sb="10" eb="12">
      <t>ダンサ</t>
    </rPh>
    <rPh sb="15" eb="17">
      <t>テントウ</t>
    </rPh>
    <rPh sb="18" eb="21">
      <t>キケンセイ</t>
    </rPh>
    <rPh sb="22" eb="23">
      <t>タカ</t>
    </rPh>
    <phoneticPr fontId="50"/>
  </si>
  <si>
    <t>動作の容易性の確保</t>
    <rPh sb="0" eb="2">
      <t>ドウサ</t>
    </rPh>
    <rPh sb="3" eb="6">
      <t>ヨウイセイ</t>
    </rPh>
    <rPh sb="7" eb="9">
      <t>カクホ</t>
    </rPh>
    <phoneticPr fontId="50"/>
  </si>
  <si>
    <t>洗面室の移動</t>
    <rPh sb="0" eb="2">
      <t>センメン</t>
    </rPh>
    <rPh sb="2" eb="3">
      <t>シツ</t>
    </rPh>
    <rPh sb="4" eb="6">
      <t>イドウ</t>
    </rPh>
    <phoneticPr fontId="50"/>
  </si>
  <si>
    <t>廊下に手すりを付けることにより安全にトイレや浴室までの移動ができるようにする。</t>
    <phoneticPr fontId="50"/>
  </si>
  <si>
    <t>下肢の筋力が低下しておりトイレや浴室までの動線の移動が困難。</t>
    <phoneticPr fontId="50"/>
  </si>
  <si>
    <t>転倒等の防止、安全の確保</t>
    <rPh sb="0" eb="2">
      <t>テントウ</t>
    </rPh>
    <rPh sb="2" eb="3">
      <t>ナド</t>
    </rPh>
    <rPh sb="4" eb="6">
      <t>ボウシ</t>
    </rPh>
    <rPh sb="7" eb="9">
      <t>アンゼン</t>
    </rPh>
    <rPh sb="10" eb="12">
      <t>カクホ</t>
    </rPh>
    <phoneticPr fontId="50"/>
  </si>
  <si>
    <t>廊下の移動</t>
    <rPh sb="0" eb="2">
      <t>ロウカ</t>
    </rPh>
    <rPh sb="3" eb="5">
      <t>イドウ</t>
    </rPh>
    <phoneticPr fontId="50"/>
  </si>
  <si>
    <t>階段に手すりがあることで寝室への移動を安全に行える。</t>
    <rPh sb="0" eb="2">
      <t>カイダン</t>
    </rPh>
    <rPh sb="3" eb="4">
      <t>テ</t>
    </rPh>
    <rPh sb="12" eb="14">
      <t>シンシツ</t>
    </rPh>
    <rPh sb="16" eb="18">
      <t>イドウ</t>
    </rPh>
    <rPh sb="19" eb="21">
      <t>アンゼン</t>
    </rPh>
    <rPh sb="22" eb="23">
      <t>オコナ</t>
    </rPh>
    <phoneticPr fontId="50"/>
  </si>
  <si>
    <t>2階に寝室があるが階段に手すりがなく転倒の危険性が高い。</t>
    <rPh sb="1" eb="2">
      <t>カイ</t>
    </rPh>
    <rPh sb="3" eb="5">
      <t>シンシツ</t>
    </rPh>
    <rPh sb="9" eb="11">
      <t>カイダン</t>
    </rPh>
    <rPh sb="12" eb="13">
      <t>テ</t>
    </rPh>
    <rPh sb="18" eb="20">
      <t>テントウ</t>
    </rPh>
    <rPh sb="21" eb="24">
      <t>キケンセイ</t>
    </rPh>
    <rPh sb="25" eb="26">
      <t>タカ</t>
    </rPh>
    <phoneticPr fontId="50"/>
  </si>
  <si>
    <t>滑り防止等のための床材の変更</t>
    <rPh sb="0" eb="1">
      <t>スベ</t>
    </rPh>
    <rPh sb="2" eb="4">
      <t>ボウシ</t>
    </rPh>
    <rPh sb="4" eb="5">
      <t>ナド</t>
    </rPh>
    <rPh sb="9" eb="10">
      <t>ユカ</t>
    </rPh>
    <rPh sb="10" eb="11">
      <t>ザイ</t>
    </rPh>
    <rPh sb="12" eb="14">
      <t>ヘンコウ</t>
    </rPh>
    <phoneticPr fontId="50"/>
  </si>
  <si>
    <t>ようにする</t>
    <phoneticPr fontId="50"/>
  </si>
  <si>
    <t>階段の昇降</t>
    <rPh sb="0" eb="2">
      <t>カイダン</t>
    </rPh>
    <rPh sb="3" eb="5">
      <t>ショウコウ</t>
    </rPh>
    <phoneticPr fontId="50"/>
  </si>
  <si>
    <t>庭に手すりを設置することで安全に移動ができるようになる。</t>
    <rPh sb="0" eb="1">
      <t>ニワ</t>
    </rPh>
    <rPh sb="2" eb="3">
      <t>テ</t>
    </rPh>
    <rPh sb="6" eb="8">
      <t>セッチ</t>
    </rPh>
    <rPh sb="13" eb="15">
      <t>アンゼン</t>
    </rPh>
    <rPh sb="16" eb="18">
      <t>イドウ</t>
    </rPh>
    <phoneticPr fontId="50"/>
  </si>
  <si>
    <t>庭に洗濯物を干しているが手すりがなく移動時に転倒の危険が高い。</t>
    <rPh sb="0" eb="1">
      <t>ニワ</t>
    </rPh>
    <rPh sb="2" eb="5">
      <t>センタクモノ</t>
    </rPh>
    <rPh sb="6" eb="7">
      <t>ホ</t>
    </rPh>
    <rPh sb="12" eb="13">
      <t>テ</t>
    </rPh>
    <rPh sb="18" eb="20">
      <t>イドウ</t>
    </rPh>
    <rPh sb="20" eb="21">
      <t>ジ</t>
    </rPh>
    <rPh sb="22" eb="24">
      <t>テントウ</t>
    </rPh>
    <rPh sb="25" eb="27">
      <t>キケン</t>
    </rPh>
    <rPh sb="28" eb="29">
      <t>タカ</t>
    </rPh>
    <phoneticPr fontId="50"/>
  </si>
  <si>
    <t>できなかったことをできる</t>
    <phoneticPr fontId="50"/>
  </si>
  <si>
    <t>庭先の移動</t>
    <rPh sb="0" eb="2">
      <t>ニワサキ</t>
    </rPh>
    <rPh sb="3" eb="5">
      <t>イドウ</t>
    </rPh>
    <phoneticPr fontId="50"/>
  </si>
  <si>
    <t>その他の活動</t>
    <rPh sb="2" eb="3">
      <t>タ</t>
    </rPh>
    <rPh sb="4" eb="6">
      <t>カツドウ</t>
    </rPh>
    <phoneticPr fontId="50"/>
  </si>
  <si>
    <t>　　　屋外移動</t>
    <rPh sb="3" eb="5">
      <t>オクガイ</t>
    </rPh>
    <rPh sb="5" eb="7">
      <t>イドウ</t>
    </rPh>
    <phoneticPr fontId="50"/>
  </si>
  <si>
    <t>出入口から敷地外までの</t>
    <rPh sb="0" eb="2">
      <t>デイリ</t>
    </rPh>
    <rPh sb="2" eb="3">
      <t>グチ</t>
    </rPh>
    <rPh sb="5" eb="7">
      <t>シキチ</t>
    </rPh>
    <rPh sb="7" eb="8">
      <t>ガイ</t>
    </rPh>
    <phoneticPr fontId="50"/>
  </si>
  <si>
    <t>便器の取替え</t>
    <rPh sb="0" eb="2">
      <t>ベンキ</t>
    </rPh>
    <rPh sb="3" eb="5">
      <t>トリカ</t>
    </rPh>
    <phoneticPr fontId="50"/>
  </si>
  <si>
    <t>　　　（扉の開閉を含む）</t>
    <rPh sb="4" eb="5">
      <t>トビラ</t>
    </rPh>
    <rPh sb="6" eb="8">
      <t>カイヘイ</t>
    </rPh>
    <rPh sb="9" eb="10">
      <t>フク</t>
    </rPh>
    <phoneticPr fontId="50"/>
  </si>
  <si>
    <t>出入口の出入</t>
    <rPh sb="0" eb="2">
      <t>デイリ</t>
    </rPh>
    <rPh sb="2" eb="3">
      <t>グチ</t>
    </rPh>
    <rPh sb="4" eb="6">
      <t>デイリ</t>
    </rPh>
    <phoneticPr fontId="50"/>
  </si>
  <si>
    <t>履物の着脱</t>
    <rPh sb="0" eb="2">
      <t>ハキモノ</t>
    </rPh>
    <rPh sb="3" eb="5">
      <t>チャクダツ</t>
    </rPh>
    <phoneticPr fontId="50"/>
  </si>
  <si>
    <t>門扉階段に手すりを取り付け安定して段差の昇降をできるようにする</t>
    <rPh sb="0" eb="2">
      <t>モンピ</t>
    </rPh>
    <rPh sb="2" eb="4">
      <t>カイダン</t>
    </rPh>
    <rPh sb="5" eb="6">
      <t>テ</t>
    </rPh>
    <rPh sb="9" eb="10">
      <t>ト</t>
    </rPh>
    <rPh sb="11" eb="12">
      <t>ツ</t>
    </rPh>
    <rPh sb="13" eb="15">
      <t>アンテイ</t>
    </rPh>
    <rPh sb="17" eb="19">
      <t>ダンサ</t>
    </rPh>
    <rPh sb="20" eb="22">
      <t>ショウコウ</t>
    </rPh>
    <phoneticPr fontId="50"/>
  </si>
  <si>
    <t>門扉階段の段差が高く安定して昇降することが困難。</t>
    <rPh sb="0" eb="2">
      <t>モンピ</t>
    </rPh>
    <rPh sb="2" eb="4">
      <t>カイダン</t>
    </rPh>
    <rPh sb="5" eb="7">
      <t>ダンサ</t>
    </rPh>
    <rPh sb="8" eb="9">
      <t>タカ</t>
    </rPh>
    <rPh sb="10" eb="12">
      <t>アンテイ</t>
    </rPh>
    <rPh sb="14" eb="16">
      <t>ショウコウ</t>
    </rPh>
    <rPh sb="21" eb="23">
      <t>コンナン</t>
    </rPh>
    <phoneticPr fontId="50"/>
  </si>
  <si>
    <t>車いす等、装具の着脱</t>
    <rPh sb="0" eb="1">
      <t>クルマ</t>
    </rPh>
    <rPh sb="3" eb="4">
      <t>ナド</t>
    </rPh>
    <rPh sb="5" eb="7">
      <t>ソウグ</t>
    </rPh>
    <rPh sb="8" eb="10">
      <t>チャクダツ</t>
    </rPh>
    <phoneticPr fontId="50"/>
  </si>
  <si>
    <t>外玄関通路を舗装することで安全に車いすで移動ができるようにし外出時の負担を減らす。</t>
    <phoneticPr fontId="50"/>
  </si>
  <si>
    <t>外玄関通路が舗装されておらず車いすの移動ができず危険。</t>
    <phoneticPr fontId="50"/>
  </si>
  <si>
    <t>上がりかまちの昇降</t>
    <rPh sb="0" eb="1">
      <t>ア</t>
    </rPh>
    <rPh sb="7" eb="9">
      <t>ショウコウ</t>
    </rPh>
    <phoneticPr fontId="50"/>
  </si>
  <si>
    <t>勝手口に手すりを取り付けることにより安全に出入りができるようにする</t>
    <rPh sb="0" eb="3">
      <t>カッテグチ</t>
    </rPh>
    <rPh sb="4" eb="5">
      <t>テ</t>
    </rPh>
    <rPh sb="8" eb="9">
      <t>ト</t>
    </rPh>
    <rPh sb="10" eb="11">
      <t>ツ</t>
    </rPh>
    <rPh sb="18" eb="20">
      <t>アンゼン</t>
    </rPh>
    <rPh sb="21" eb="23">
      <t>デイ</t>
    </rPh>
    <phoneticPr fontId="50"/>
  </si>
  <si>
    <t>勝手口に手すりがなく出入りに苦労している。</t>
    <rPh sb="0" eb="3">
      <t>カッテグチ</t>
    </rPh>
    <rPh sb="4" eb="5">
      <t>テ</t>
    </rPh>
    <rPh sb="10" eb="12">
      <t>デイ</t>
    </rPh>
    <rPh sb="14" eb="16">
      <t>クロウ</t>
    </rPh>
    <phoneticPr fontId="50"/>
  </si>
  <si>
    <t>引き戸等への扉の取替え</t>
    <rPh sb="0" eb="1">
      <t>ヒ</t>
    </rPh>
    <rPh sb="2" eb="3">
      <t>ド</t>
    </rPh>
    <rPh sb="3" eb="4">
      <t>ナド</t>
    </rPh>
    <rPh sb="6" eb="7">
      <t>トビラ</t>
    </rPh>
    <rPh sb="8" eb="10">
      <t>トリカ</t>
    </rPh>
    <phoneticPr fontId="50"/>
  </si>
  <si>
    <t>出入口までの屋内移動</t>
    <rPh sb="0" eb="2">
      <t>デイリ</t>
    </rPh>
    <rPh sb="2" eb="3">
      <t>グチ</t>
    </rPh>
    <rPh sb="6" eb="8">
      <t>オクナイ</t>
    </rPh>
    <rPh sb="8" eb="10">
      <t>イドウ</t>
    </rPh>
    <phoneticPr fontId="50"/>
  </si>
  <si>
    <t>外出</t>
    <rPh sb="0" eb="2">
      <t>ガイシュツ</t>
    </rPh>
    <phoneticPr fontId="50"/>
  </si>
  <si>
    <t>浴槽内での姿勢保持</t>
    <rPh sb="0" eb="2">
      <t>ヨクソウ</t>
    </rPh>
    <rPh sb="2" eb="3">
      <t>ナイ</t>
    </rPh>
    <rPh sb="5" eb="7">
      <t>シセイ</t>
    </rPh>
    <rPh sb="7" eb="9">
      <t>ホジ</t>
    </rPh>
    <phoneticPr fontId="50"/>
  </si>
  <si>
    <t>浴槽の出入（立ち座りを含む）</t>
    <rPh sb="0" eb="2">
      <t>ヨクソウ</t>
    </rPh>
    <rPh sb="3" eb="5">
      <t>デイリ</t>
    </rPh>
    <rPh sb="6" eb="7">
      <t>タ</t>
    </rPh>
    <rPh sb="8" eb="9">
      <t>スワ</t>
    </rPh>
    <rPh sb="11" eb="12">
      <t>フク</t>
    </rPh>
    <phoneticPr fontId="50"/>
  </si>
  <si>
    <t>　　　（洗体・洗髪を含む）</t>
    <rPh sb="4" eb="5">
      <t>ススグ</t>
    </rPh>
    <rPh sb="5" eb="6">
      <t>カラダ</t>
    </rPh>
    <rPh sb="7" eb="9">
      <t>センパツ</t>
    </rPh>
    <rPh sb="10" eb="11">
      <t>フク</t>
    </rPh>
    <phoneticPr fontId="50"/>
  </si>
  <si>
    <t>洗い場での姿勢保持</t>
    <rPh sb="0" eb="1">
      <t>アラ</t>
    </rPh>
    <rPh sb="2" eb="3">
      <t>バ</t>
    </rPh>
    <rPh sb="5" eb="7">
      <t>シセイ</t>
    </rPh>
    <rPh sb="7" eb="9">
      <t>ホジ</t>
    </rPh>
    <phoneticPr fontId="50"/>
  </si>
  <si>
    <t>洗い場の床材を滑りにくいものに変え転倒の危険性を少なくする</t>
    <rPh sb="0" eb="1">
      <t>アラ</t>
    </rPh>
    <rPh sb="2" eb="3">
      <t>バ</t>
    </rPh>
    <rPh sb="4" eb="5">
      <t>ユカ</t>
    </rPh>
    <rPh sb="5" eb="6">
      <t>ザイ</t>
    </rPh>
    <rPh sb="7" eb="8">
      <t>スベ</t>
    </rPh>
    <rPh sb="15" eb="16">
      <t>カ</t>
    </rPh>
    <rPh sb="17" eb="19">
      <t>テントウ</t>
    </rPh>
    <rPh sb="20" eb="23">
      <t>キケンセイ</t>
    </rPh>
    <rPh sb="24" eb="25">
      <t>スク</t>
    </rPh>
    <phoneticPr fontId="50"/>
  </si>
  <si>
    <t>浴室洗い場の床がすべりやすく転倒の危険性が高い。</t>
    <rPh sb="0" eb="2">
      <t>ヨクシツ</t>
    </rPh>
    <rPh sb="2" eb="3">
      <t>アラ</t>
    </rPh>
    <rPh sb="4" eb="5">
      <t>バ</t>
    </rPh>
    <rPh sb="6" eb="7">
      <t>ユカ</t>
    </rPh>
    <rPh sb="14" eb="16">
      <t>テントウ</t>
    </rPh>
    <rPh sb="17" eb="20">
      <t>キケンセイ</t>
    </rPh>
    <rPh sb="21" eb="22">
      <t>タカ</t>
    </rPh>
    <phoneticPr fontId="50"/>
  </si>
  <si>
    <r>
      <t>浴室内での移動</t>
    </r>
    <r>
      <rPr>
        <sz val="8"/>
        <rFont val="ＭＳ Ｐゴシック"/>
        <family val="3"/>
        <charset val="128"/>
      </rPr>
      <t>（立ち座りを含む）</t>
    </r>
    <rPh sb="0" eb="1">
      <t>ヨク</t>
    </rPh>
    <rPh sb="1" eb="3">
      <t>シツナイ</t>
    </rPh>
    <rPh sb="5" eb="7">
      <t>イドウ</t>
    </rPh>
    <rPh sb="8" eb="9">
      <t>タ</t>
    </rPh>
    <rPh sb="10" eb="11">
      <t>スワ</t>
    </rPh>
    <rPh sb="13" eb="14">
      <t>フク</t>
    </rPh>
    <phoneticPr fontId="50"/>
  </si>
  <si>
    <t>浴室洗い場に津すりの設置を行うことで姿勢保持を行い、安定した立ち座りもできるようにする。</t>
    <rPh sb="0" eb="2">
      <t>ヨクシツ</t>
    </rPh>
    <rPh sb="2" eb="3">
      <t>アラ</t>
    </rPh>
    <rPh sb="4" eb="5">
      <t>バ</t>
    </rPh>
    <rPh sb="6" eb="7">
      <t>ツ</t>
    </rPh>
    <rPh sb="10" eb="12">
      <t>セッチ</t>
    </rPh>
    <rPh sb="13" eb="14">
      <t>オコナ</t>
    </rPh>
    <rPh sb="18" eb="20">
      <t>シセイ</t>
    </rPh>
    <rPh sb="20" eb="22">
      <t>ホジ</t>
    </rPh>
    <rPh sb="23" eb="24">
      <t>オコナ</t>
    </rPh>
    <rPh sb="26" eb="28">
      <t>アンテイ</t>
    </rPh>
    <rPh sb="30" eb="31">
      <t>タ</t>
    </rPh>
    <rPh sb="32" eb="33">
      <t>スワ</t>
    </rPh>
    <phoneticPr fontId="50"/>
  </si>
  <si>
    <t>浴室洗い場での姿勢保持がむずかしく、立ち座りにふらつき危険。</t>
    <rPh sb="0" eb="2">
      <t>ヨクシツ</t>
    </rPh>
    <rPh sb="2" eb="3">
      <t>アラ</t>
    </rPh>
    <rPh sb="4" eb="5">
      <t>バ</t>
    </rPh>
    <rPh sb="7" eb="9">
      <t>シセイ</t>
    </rPh>
    <rPh sb="9" eb="11">
      <t>ホジ</t>
    </rPh>
    <rPh sb="18" eb="19">
      <t>タ</t>
    </rPh>
    <rPh sb="20" eb="21">
      <t>スワ</t>
    </rPh>
    <rPh sb="27" eb="29">
      <t>キケン</t>
    </rPh>
    <phoneticPr fontId="50"/>
  </si>
  <si>
    <t>段差の解消</t>
    <rPh sb="0" eb="2">
      <t>ダンサ</t>
    </rPh>
    <rPh sb="3" eb="5">
      <t>カイショウ</t>
    </rPh>
    <phoneticPr fontId="50"/>
  </si>
  <si>
    <t>浴室入口を折れ戸にすることで安定した開閉ができる。また浴室内で転倒した場合でも扉の開閉が容易にできる</t>
    <rPh sb="0" eb="2">
      <t>ヨクシツ</t>
    </rPh>
    <rPh sb="2" eb="4">
      <t>イリグチ</t>
    </rPh>
    <rPh sb="5" eb="6">
      <t>オ</t>
    </rPh>
    <rPh sb="7" eb="8">
      <t>ド</t>
    </rPh>
    <rPh sb="14" eb="16">
      <t>アンテイ</t>
    </rPh>
    <rPh sb="18" eb="20">
      <t>カイヘイ</t>
    </rPh>
    <rPh sb="27" eb="29">
      <t>ヨクシツ</t>
    </rPh>
    <rPh sb="29" eb="30">
      <t>ナイ</t>
    </rPh>
    <rPh sb="31" eb="33">
      <t>テントウ</t>
    </rPh>
    <rPh sb="35" eb="37">
      <t>バアイ</t>
    </rPh>
    <rPh sb="39" eb="40">
      <t>トビラ</t>
    </rPh>
    <rPh sb="41" eb="43">
      <t>カイヘイ</t>
    </rPh>
    <rPh sb="44" eb="46">
      <t>ヨウイ</t>
    </rPh>
    <phoneticPr fontId="50"/>
  </si>
  <si>
    <t>体力の低下に伴い浴室扉の開閉で転倒の危険性が高い。</t>
    <rPh sb="0" eb="2">
      <t>タイリョク</t>
    </rPh>
    <rPh sb="3" eb="5">
      <t>テイカ</t>
    </rPh>
    <rPh sb="6" eb="7">
      <t>トモナ</t>
    </rPh>
    <rPh sb="8" eb="10">
      <t>ヨクシツ</t>
    </rPh>
    <rPh sb="10" eb="11">
      <t>トビラ</t>
    </rPh>
    <rPh sb="12" eb="14">
      <t>カイヘイ</t>
    </rPh>
    <rPh sb="15" eb="17">
      <t>テントウ</t>
    </rPh>
    <rPh sb="18" eb="21">
      <t>キケンセイ</t>
    </rPh>
    <rPh sb="22" eb="23">
      <t>タカ</t>
    </rPh>
    <phoneticPr fontId="50"/>
  </si>
  <si>
    <t>浴室出入口の出入</t>
    <rPh sb="0" eb="2">
      <t>ヨクシツ</t>
    </rPh>
    <rPh sb="2" eb="4">
      <t>デイリ</t>
    </rPh>
    <rPh sb="4" eb="5">
      <t>グチ</t>
    </rPh>
    <rPh sb="6" eb="8">
      <t>デイリ</t>
    </rPh>
    <phoneticPr fontId="50"/>
  </si>
  <si>
    <t>浴室入口に手すりを取り付けることにより安定して出入りをできるようにする。</t>
    <rPh sb="0" eb="2">
      <t>ヨクシツ</t>
    </rPh>
    <rPh sb="2" eb="4">
      <t>イリグチ</t>
    </rPh>
    <rPh sb="5" eb="6">
      <t>テ</t>
    </rPh>
    <rPh sb="9" eb="10">
      <t>ト</t>
    </rPh>
    <rPh sb="11" eb="12">
      <t>ツ</t>
    </rPh>
    <rPh sb="19" eb="21">
      <t>アンテイ</t>
    </rPh>
    <rPh sb="23" eb="25">
      <t>デイ</t>
    </rPh>
    <phoneticPr fontId="50"/>
  </si>
  <si>
    <t>下肢筋力の低下があり、浴室の出入りで転倒の危険性が高い</t>
    <rPh sb="0" eb="4">
      <t>カシキンリョク</t>
    </rPh>
    <rPh sb="5" eb="7">
      <t>テイカ</t>
    </rPh>
    <rPh sb="11" eb="13">
      <t>ヨクシツ</t>
    </rPh>
    <rPh sb="14" eb="16">
      <t>デイ</t>
    </rPh>
    <rPh sb="18" eb="20">
      <t>テントウ</t>
    </rPh>
    <rPh sb="21" eb="24">
      <t>キケンセイ</t>
    </rPh>
    <rPh sb="25" eb="26">
      <t>タカ</t>
    </rPh>
    <phoneticPr fontId="50"/>
  </si>
  <si>
    <t>衣服の着脱</t>
    <rPh sb="0" eb="2">
      <t>イフク</t>
    </rPh>
    <rPh sb="3" eb="5">
      <t>チャクダツ</t>
    </rPh>
    <phoneticPr fontId="50"/>
  </si>
  <si>
    <t>浴室内に手すりを取り付けることにより安定して浴槽内へ出入りができるようにする</t>
    <rPh sb="0" eb="2">
      <t>ヨクシツ</t>
    </rPh>
    <rPh sb="2" eb="3">
      <t>ナイ</t>
    </rPh>
    <rPh sb="4" eb="5">
      <t>テ</t>
    </rPh>
    <rPh sb="8" eb="9">
      <t>ト</t>
    </rPh>
    <rPh sb="10" eb="11">
      <t>ツ</t>
    </rPh>
    <rPh sb="18" eb="20">
      <t>アンテイ</t>
    </rPh>
    <rPh sb="22" eb="24">
      <t>ヨクソウ</t>
    </rPh>
    <rPh sb="24" eb="25">
      <t>ナイ</t>
    </rPh>
    <rPh sb="26" eb="28">
      <t>デイ</t>
    </rPh>
    <phoneticPr fontId="50"/>
  </si>
  <si>
    <t>加齢による体力・筋力の低下で浴槽への出入りが困難。</t>
    <rPh sb="0" eb="2">
      <t>カレイ</t>
    </rPh>
    <rPh sb="5" eb="7">
      <t>タイリョク</t>
    </rPh>
    <rPh sb="8" eb="10">
      <t>キンリョク</t>
    </rPh>
    <rPh sb="11" eb="13">
      <t>テイカ</t>
    </rPh>
    <rPh sb="14" eb="16">
      <t>ヨクソウ</t>
    </rPh>
    <rPh sb="18" eb="20">
      <t>デイ</t>
    </rPh>
    <rPh sb="22" eb="24">
      <t>コンナン</t>
    </rPh>
    <phoneticPr fontId="50"/>
  </si>
  <si>
    <t>浴室までの移動</t>
    <rPh sb="0" eb="2">
      <t>ヨクシツ</t>
    </rPh>
    <rPh sb="5" eb="7">
      <t>イドウ</t>
    </rPh>
    <phoneticPr fontId="50"/>
  </si>
  <si>
    <t>入浴</t>
    <rPh sb="0" eb="2">
      <t>ニュウヨク</t>
    </rPh>
    <phoneticPr fontId="50"/>
  </si>
  <si>
    <t>後始末</t>
    <rPh sb="0" eb="3">
      <t>アトシマツ</t>
    </rPh>
    <phoneticPr fontId="50"/>
  </si>
  <si>
    <t>トイレ内に手すりを取り付け衣服着脱時の介助者の負担を軽減させる。</t>
    <rPh sb="3" eb="4">
      <t>ナイ</t>
    </rPh>
    <rPh sb="5" eb="6">
      <t>テ</t>
    </rPh>
    <rPh sb="9" eb="10">
      <t>ト</t>
    </rPh>
    <rPh sb="11" eb="12">
      <t>ツ</t>
    </rPh>
    <rPh sb="13" eb="15">
      <t>イフク</t>
    </rPh>
    <rPh sb="15" eb="17">
      <t>チャクダツ</t>
    </rPh>
    <rPh sb="17" eb="18">
      <t>ジ</t>
    </rPh>
    <rPh sb="19" eb="22">
      <t>カイジョシャ</t>
    </rPh>
    <rPh sb="23" eb="25">
      <t>フタン</t>
    </rPh>
    <rPh sb="26" eb="28">
      <t>ケイゲン</t>
    </rPh>
    <phoneticPr fontId="50"/>
  </si>
  <si>
    <t>排泄時の姿勢保持</t>
    <rPh sb="0" eb="2">
      <t>ハイセツ</t>
    </rPh>
    <rPh sb="2" eb="3">
      <t>ジ</t>
    </rPh>
    <rPh sb="4" eb="6">
      <t>シセイ</t>
    </rPh>
    <rPh sb="6" eb="8">
      <t>ホジ</t>
    </rPh>
    <phoneticPr fontId="50"/>
  </si>
  <si>
    <t>トイレ入口の段差を解消することで転倒の危険性を低くする。</t>
    <rPh sb="3" eb="5">
      <t>イリグチ</t>
    </rPh>
    <rPh sb="6" eb="8">
      <t>ダンサ</t>
    </rPh>
    <rPh sb="9" eb="11">
      <t>カイショウ</t>
    </rPh>
    <rPh sb="16" eb="18">
      <t>テントウ</t>
    </rPh>
    <rPh sb="19" eb="22">
      <t>キケンセイ</t>
    </rPh>
    <rPh sb="23" eb="24">
      <t>ヒク</t>
    </rPh>
    <phoneticPr fontId="50"/>
  </si>
  <si>
    <t>トイレ内での衣服の着脱時の姿勢保持ができず介助者に負担がかかる。</t>
    <rPh sb="3" eb="4">
      <t>ナイ</t>
    </rPh>
    <rPh sb="6" eb="8">
      <t>イフク</t>
    </rPh>
    <rPh sb="9" eb="11">
      <t>チャクダツ</t>
    </rPh>
    <rPh sb="11" eb="12">
      <t>ジ</t>
    </rPh>
    <rPh sb="13" eb="15">
      <t>シセイ</t>
    </rPh>
    <rPh sb="15" eb="17">
      <t>ホジ</t>
    </rPh>
    <rPh sb="21" eb="24">
      <t>カイジョシャ</t>
    </rPh>
    <rPh sb="25" eb="27">
      <t>フタン</t>
    </rPh>
    <phoneticPr fontId="50"/>
  </si>
  <si>
    <t>トイレ入口に手すりを付け扉の開閉を安全に行えるようにする。</t>
    <rPh sb="3" eb="5">
      <t>イリグチ</t>
    </rPh>
    <rPh sb="6" eb="7">
      <t>テ</t>
    </rPh>
    <rPh sb="10" eb="11">
      <t>ツ</t>
    </rPh>
    <rPh sb="12" eb="13">
      <t>トビラ</t>
    </rPh>
    <rPh sb="14" eb="16">
      <t>カイヘイ</t>
    </rPh>
    <rPh sb="17" eb="19">
      <t>アンゼン</t>
    </rPh>
    <rPh sb="20" eb="21">
      <t>オコナ</t>
    </rPh>
    <phoneticPr fontId="50"/>
  </si>
  <si>
    <t>トイレ入口の段差が高くつまずく危険性が高い。</t>
    <rPh sb="3" eb="5">
      <t>イリグチ</t>
    </rPh>
    <rPh sb="6" eb="8">
      <t>ダンサ</t>
    </rPh>
    <rPh sb="9" eb="10">
      <t>タカ</t>
    </rPh>
    <rPh sb="15" eb="18">
      <t>キケンセイ</t>
    </rPh>
    <rPh sb="19" eb="20">
      <t>タカ</t>
    </rPh>
    <phoneticPr fontId="50"/>
  </si>
  <si>
    <r>
      <t>便器からの立ち座り</t>
    </r>
    <r>
      <rPr>
        <sz val="8"/>
        <rFont val="ＭＳ Ｐゴシック"/>
        <family val="3"/>
        <charset val="128"/>
      </rPr>
      <t>（移乗を含む）</t>
    </r>
    <rPh sb="0" eb="2">
      <t>ベンキ</t>
    </rPh>
    <rPh sb="5" eb="6">
      <t>タ</t>
    </rPh>
    <rPh sb="7" eb="8">
      <t>スワ</t>
    </rPh>
    <rPh sb="10" eb="12">
      <t>イジョウ</t>
    </rPh>
    <rPh sb="13" eb="14">
      <t>フク</t>
    </rPh>
    <phoneticPr fontId="50"/>
  </si>
  <si>
    <t>トイレ扉の開閉方向を変えることで転倒の危険性を低くできる。</t>
    <rPh sb="3" eb="4">
      <t>トビラ</t>
    </rPh>
    <rPh sb="5" eb="7">
      <t>カイヘイ</t>
    </rPh>
    <rPh sb="7" eb="9">
      <t>ホウコウ</t>
    </rPh>
    <rPh sb="10" eb="11">
      <t>カ</t>
    </rPh>
    <rPh sb="16" eb="18">
      <t>テントウ</t>
    </rPh>
    <rPh sb="19" eb="22">
      <t>キケンセイ</t>
    </rPh>
    <rPh sb="23" eb="24">
      <t>ヒク</t>
    </rPh>
    <phoneticPr fontId="50"/>
  </si>
  <si>
    <t>トイレの扉の開閉が不安定で転倒の危険性が高い。</t>
    <rPh sb="4" eb="5">
      <t>トビラ</t>
    </rPh>
    <rPh sb="6" eb="8">
      <t>カイヘイ</t>
    </rPh>
    <rPh sb="9" eb="12">
      <t>フアンテイ</t>
    </rPh>
    <rPh sb="13" eb="15">
      <t>テントウ</t>
    </rPh>
    <rPh sb="16" eb="19">
      <t>キケンセイ</t>
    </rPh>
    <rPh sb="20" eb="21">
      <t>タカ</t>
    </rPh>
    <phoneticPr fontId="50"/>
  </si>
  <si>
    <t>トイレ内に手すりを付けることにより便器までの移動を安定して行える。</t>
    <rPh sb="3" eb="4">
      <t>ナイ</t>
    </rPh>
    <rPh sb="5" eb="6">
      <t>テ</t>
    </rPh>
    <rPh sb="9" eb="10">
      <t>ツ</t>
    </rPh>
    <rPh sb="17" eb="19">
      <t>ベンキ</t>
    </rPh>
    <rPh sb="22" eb="24">
      <t>イドウ</t>
    </rPh>
    <rPh sb="25" eb="27">
      <t>アンテイ</t>
    </rPh>
    <rPh sb="29" eb="30">
      <t>オコナ</t>
    </rPh>
    <phoneticPr fontId="50"/>
  </si>
  <si>
    <t>トイレ便器までの移動が不安定で転倒の危険性が高い。</t>
    <rPh sb="3" eb="5">
      <t>ベンキ</t>
    </rPh>
    <rPh sb="8" eb="10">
      <t>イドウ</t>
    </rPh>
    <rPh sb="11" eb="14">
      <t>フアンテイ</t>
    </rPh>
    <rPh sb="15" eb="17">
      <t>テントウ</t>
    </rPh>
    <rPh sb="18" eb="21">
      <t>キケンセイ</t>
    </rPh>
    <rPh sb="22" eb="23">
      <t>タカ</t>
    </rPh>
    <phoneticPr fontId="50"/>
  </si>
  <si>
    <t>トイレ出入口の出入</t>
    <rPh sb="3" eb="5">
      <t>デイリ</t>
    </rPh>
    <rPh sb="5" eb="6">
      <t>グチ</t>
    </rPh>
    <rPh sb="7" eb="9">
      <t>デイリ</t>
    </rPh>
    <phoneticPr fontId="50"/>
  </si>
  <si>
    <t>トイレ内に手すりを付けることにより安定した立ち座りをできるようにする。</t>
    <rPh sb="3" eb="4">
      <t>ナイ</t>
    </rPh>
    <rPh sb="5" eb="6">
      <t>テ</t>
    </rPh>
    <rPh sb="9" eb="10">
      <t>ツ</t>
    </rPh>
    <rPh sb="17" eb="19">
      <t>アンテイ</t>
    </rPh>
    <rPh sb="21" eb="22">
      <t>タ</t>
    </rPh>
    <rPh sb="23" eb="24">
      <t>スワ</t>
    </rPh>
    <phoneticPr fontId="50"/>
  </si>
  <si>
    <t>下肢筋力が低下しトイレ内での安定した立ち座りができなくなっている。</t>
    <rPh sb="0" eb="4">
      <t>カシキンリョク</t>
    </rPh>
    <rPh sb="5" eb="7">
      <t>テイカ</t>
    </rPh>
    <rPh sb="11" eb="12">
      <t>ナイ</t>
    </rPh>
    <rPh sb="14" eb="16">
      <t>アンテイ</t>
    </rPh>
    <rPh sb="18" eb="19">
      <t>タ</t>
    </rPh>
    <rPh sb="20" eb="21">
      <t>スワ</t>
    </rPh>
    <phoneticPr fontId="50"/>
  </si>
  <si>
    <t>手すりの取付け</t>
    <rPh sb="0" eb="1">
      <t>テ</t>
    </rPh>
    <rPh sb="4" eb="6">
      <t>トリツ</t>
    </rPh>
    <phoneticPr fontId="50"/>
  </si>
  <si>
    <t>トイレまでの移動</t>
    <rPh sb="6" eb="8">
      <t>イドウ</t>
    </rPh>
    <phoneticPr fontId="50"/>
  </si>
  <si>
    <t>排泄</t>
    <rPh sb="0" eb="2">
      <t>ハイセツ</t>
    </rPh>
    <phoneticPr fontId="50"/>
  </si>
  <si>
    <t>【③　改修目的・期待効果をチェックした上で、改修の方針（・・・することで　・・・が改善できる）を記入してください】</t>
    <phoneticPr fontId="50"/>
  </si>
  <si>
    <t>【②　①の具体的な困難な状況（・・・なので　・・・で困っている）を記入してください】</t>
    <phoneticPr fontId="50"/>
  </si>
  <si>
    <t>④　改修項目（改修箇所）</t>
    <rPh sb="2" eb="4">
      <t>カイシュウ</t>
    </rPh>
    <rPh sb="4" eb="6">
      <t>コウモク</t>
    </rPh>
    <rPh sb="7" eb="9">
      <t>カイシュウ</t>
    </rPh>
    <rPh sb="9" eb="11">
      <t>カショ</t>
    </rPh>
    <phoneticPr fontId="50"/>
  </si>
  <si>
    <t>③　改修目的・期待効果をチェックした上で、改修の方針（・・・することで　・・・が改善できる）を記入してください</t>
    <rPh sb="2" eb="4">
      <t>カイシュウ</t>
    </rPh>
    <rPh sb="4" eb="6">
      <t>モクテキ</t>
    </rPh>
    <rPh sb="7" eb="9">
      <t>キタイ</t>
    </rPh>
    <rPh sb="9" eb="11">
      <t>コウカ</t>
    </rPh>
    <rPh sb="18" eb="19">
      <t>ウエ</t>
    </rPh>
    <rPh sb="21" eb="23">
      <t>カイシュウ</t>
    </rPh>
    <rPh sb="24" eb="26">
      <t>ホウシン</t>
    </rPh>
    <phoneticPr fontId="50"/>
  </si>
  <si>
    <t>②　①の具体的な困難な状況（・・・なので　・・・で困っている）を記入してください</t>
    <phoneticPr fontId="50"/>
  </si>
  <si>
    <t>①改善をしようとしている生活動作</t>
    <rPh sb="1" eb="3">
      <t>カイゼン</t>
    </rPh>
    <rPh sb="12" eb="14">
      <t>セイカツ</t>
    </rPh>
    <rPh sb="14" eb="16">
      <t>ドウサ</t>
    </rPh>
    <phoneticPr fontId="50"/>
  </si>
  <si>
    <t>活動</t>
    <rPh sb="0" eb="2">
      <t>カツドウ</t>
    </rPh>
    <phoneticPr fontId="50"/>
  </si>
  <si>
    <t>＜Ｐ1の「総合的状況」を踏まえて、①改善をしようとしている生活動作②具体的な困難な状況③改修目的と改修の方針④改修項目を具体的に記入してください。＞</t>
    <rPh sb="5" eb="8">
      <t>ソウゴウテキ</t>
    </rPh>
    <rPh sb="8" eb="10">
      <t>ジョウキョウ</t>
    </rPh>
    <rPh sb="12" eb="13">
      <t>フ</t>
    </rPh>
    <rPh sb="18" eb="20">
      <t>カイゼン</t>
    </rPh>
    <rPh sb="29" eb="31">
      <t>セイカツ</t>
    </rPh>
    <rPh sb="31" eb="33">
      <t>ドウサ</t>
    </rPh>
    <rPh sb="34" eb="37">
      <t>グタイテキ</t>
    </rPh>
    <rPh sb="38" eb="40">
      <t>コンナン</t>
    </rPh>
    <rPh sb="41" eb="43">
      <t>ジョウキョウ</t>
    </rPh>
    <rPh sb="44" eb="46">
      <t>カイシュウ</t>
    </rPh>
    <rPh sb="46" eb="48">
      <t>モクテキ</t>
    </rPh>
    <rPh sb="49" eb="51">
      <t>カイシュウ</t>
    </rPh>
    <rPh sb="52" eb="54">
      <t>ホウシン</t>
    </rPh>
    <rPh sb="55" eb="57">
      <t>カイシュウ</t>
    </rPh>
    <rPh sb="57" eb="59">
      <t>コウモク</t>
    </rPh>
    <rPh sb="60" eb="63">
      <t>グタイテキ</t>
    </rPh>
    <rPh sb="64" eb="66">
      <t>キニュウ</t>
    </rPh>
    <phoneticPr fontId="50"/>
  </si>
  <si>
    <t>生年月日：</t>
    <rPh sb="0" eb="4">
      <t>セイネンガッピ</t>
    </rPh>
    <phoneticPr fontId="3"/>
  </si>
  <si>
    <t>（株）介福本舗</t>
    <rPh sb="0" eb="3">
      <t>カブ</t>
    </rPh>
    <rPh sb="3" eb="7">
      <t>カイフクホンポ</t>
    </rPh>
    <phoneticPr fontId="3"/>
  </si>
  <si>
    <t>（株）介福本舗</t>
    <rPh sb="0" eb="3">
      <t>カブ</t>
    </rPh>
    <rPh sb="3" eb="7">
      <t>カイフクホンポ</t>
    </rPh>
    <phoneticPr fontId="3"/>
  </si>
  <si>
    <t>西日本シティ</t>
    <rPh sb="0" eb="3">
      <t>ニシニホン</t>
    </rPh>
    <phoneticPr fontId="3"/>
  </si>
  <si>
    <t>下山門</t>
    <rPh sb="0" eb="3">
      <t>シモヤマト</t>
    </rPh>
    <phoneticPr fontId="3"/>
  </si>
  <si>
    <t>（ｶ）ｶｲﾌｸﾎﾝﾎﾟ　ﾀﾞｲﾞﾋｮｳﾄﾘｼﾏﾘﾔｸ　　ﾏﾅﾀﾞﾄﾓﾋｻ</t>
    <phoneticPr fontId="3"/>
  </si>
  <si>
    <t>設計№1</t>
    <rPh sb="0" eb="2">
      <t>セッケイ</t>
    </rPh>
    <phoneticPr fontId="3"/>
  </si>
  <si>
    <t>縮尺　1/</t>
    <rPh sb="0" eb="2">
      <t>シュクシャク</t>
    </rPh>
    <phoneticPr fontId="3"/>
  </si>
  <si>
    <t>㈱介福本舗</t>
    <rPh sb="1" eb="2">
      <t>カイ</t>
    </rPh>
    <rPh sb="2" eb="3">
      <t>フク</t>
    </rPh>
    <rPh sb="3" eb="5">
      <t>ホンポ</t>
    </rPh>
    <phoneticPr fontId="3"/>
  </si>
  <si>
    <t>図面№1</t>
    <rPh sb="0" eb="2">
      <t>ズメン</t>
    </rPh>
    <phoneticPr fontId="3"/>
  </si>
  <si>
    <t>玄関</t>
    <rPh sb="0" eb="2">
      <t>ゲンカン</t>
    </rPh>
    <phoneticPr fontId="3"/>
  </si>
  <si>
    <t>⑧</t>
    <phoneticPr fontId="3"/>
  </si>
  <si>
    <t>玄関ポーチ</t>
    <rPh sb="0" eb="2">
      <t>ゲンカン</t>
    </rPh>
    <phoneticPr fontId="3"/>
  </si>
  <si>
    <t>⑨</t>
    <phoneticPr fontId="3"/>
  </si>
  <si>
    <t>様邸</t>
    <rPh sb="0" eb="2">
      <t>サマテイ</t>
    </rPh>
    <phoneticPr fontId="3"/>
  </si>
  <si>
    <t>作成</t>
    <rPh sb="0" eb="2">
      <t>サクセイ</t>
    </rPh>
    <phoneticPr fontId="3"/>
  </si>
  <si>
    <t>訂正　　　　　年　　　月　　　日</t>
  </si>
  <si>
    <t>□資格・認定（　　　→　　　）</t>
    <phoneticPr fontId="3"/>
  </si>
  <si>
    <r>
      <t>支給額　（Ｄ×　　　％）　　　　　　　　</t>
    </r>
    <r>
      <rPr>
        <sz val="9"/>
        <color indexed="17"/>
        <rFont val="ＭＳ Ｐゴシック"/>
        <family val="3"/>
        <charset val="128"/>
      </rPr>
      <t>端数切り捨て</t>
    </r>
    <rPh sb="0" eb="2">
      <t>シキュウ</t>
    </rPh>
    <rPh sb="2" eb="3">
      <t>ガク</t>
    </rPh>
    <rPh sb="20" eb="22">
      <t>ハスウ</t>
    </rPh>
    <rPh sb="22" eb="25">
      <t>キリス</t>
    </rPh>
    <phoneticPr fontId="3"/>
  </si>
  <si>
    <t>口座名義人</t>
  </si>
  <si>
    <t>）</t>
  </si>
  <si>
    <t>（フリガナ）</t>
  </si>
  <si>
    <t>普通　　　当座</t>
    <rPh sb="0" eb="2">
      <t>フツウ</t>
    </rPh>
    <phoneticPr fontId="3"/>
  </si>
  <si>
    <t>口座番号</t>
    <rPh sb="0" eb="2">
      <t>コウザ</t>
    </rPh>
    <rPh sb="2" eb="4">
      <t>バンゴウ</t>
    </rPh>
    <phoneticPr fontId="3"/>
  </si>
  <si>
    <t>支店</t>
  </si>
  <si>
    <t>農協</t>
  </si>
  <si>
    <t>本店</t>
  </si>
  <si>
    <t>銀行</t>
  </si>
  <si>
    <t>（電話　　　　　　　　　　　　　　　　　　）</t>
    <rPh sb="1" eb="3">
      <t>デンワ</t>
    </rPh>
    <phoneticPr fontId="3"/>
  </si>
  <si>
    <t>（委任者）</t>
    <rPh sb="1" eb="4">
      <t>イニンシャ</t>
    </rPh>
    <phoneticPr fontId="3"/>
  </si>
  <si>
    <t>□</t>
    <phoneticPr fontId="3"/>
  </si>
  <si>
    <r>
      <t>事前申請からの工事内容変更なしのため、工事内訳書、図面の添付を省略</t>
    </r>
    <r>
      <rPr>
        <sz val="9"/>
        <color rgb="FF006600"/>
        <rFont val="ＭＳ Ｐゴシック"/>
        <family val="3"/>
        <charset val="128"/>
      </rPr>
      <t xml:space="preserve"> （該当する場合は、□に</t>
    </r>
    <r>
      <rPr>
        <sz val="9"/>
        <color rgb="FF006600"/>
        <rFont val="Wingdings"/>
        <charset val="2"/>
      </rPr>
      <t>ü</t>
    </r>
    <r>
      <rPr>
        <sz val="9"/>
        <color rgb="FF006600"/>
        <rFont val="ＭＳ Ｐゴシック"/>
        <family val="3"/>
        <charset val="128"/>
      </rPr>
      <t>をしてください。）</t>
    </r>
    <rPh sb="9" eb="11">
      <t>ナイヨウ</t>
    </rPh>
    <rPh sb="25" eb="27">
      <t>ズメン</t>
    </rPh>
    <phoneticPr fontId="3"/>
  </si>
  <si>
    <t>月</t>
    <rPh sb="0" eb="1">
      <t>ツキ</t>
    </rPh>
    <phoneticPr fontId="3"/>
  </si>
  <si>
    <t>※振込先口座は、受任者名義の口座を記入して下さい。</t>
    <rPh sb="1" eb="4">
      <t>フリコミサキ</t>
    </rPh>
    <rPh sb="4" eb="6">
      <t>コウザ</t>
    </rPh>
    <rPh sb="8" eb="11">
      <t>ジュニンシャ</t>
    </rPh>
    <rPh sb="11" eb="13">
      <t>メイギ</t>
    </rPh>
    <rPh sb="14" eb="16">
      <t>コウザ</t>
    </rPh>
    <rPh sb="17" eb="19">
      <t>キニュウ</t>
    </rPh>
    <rPh sb="21" eb="22">
      <t>クダ</t>
    </rPh>
    <phoneticPr fontId="3"/>
  </si>
  <si>
    <t>〒819-0001</t>
    <phoneticPr fontId="3"/>
  </si>
  <si>
    <t>福岡市西区小戸1－16－24</t>
    <rPh sb="0" eb="3">
      <t>フクオカシ</t>
    </rPh>
    <rPh sb="3" eb="5">
      <t>ニシク</t>
    </rPh>
    <rPh sb="5" eb="7">
      <t>オド</t>
    </rPh>
    <phoneticPr fontId="3"/>
  </si>
  <si>
    <t>（電話　092-985-0904　　　　　）</t>
    <rPh sb="1" eb="3">
      <t>デンワ</t>
    </rPh>
    <phoneticPr fontId="3"/>
  </si>
  <si>
    <t>代表取締役　眞田友寿</t>
    <rPh sb="0" eb="2">
      <t>ダイヒョウ</t>
    </rPh>
    <rPh sb="2" eb="5">
      <t>トリシマリヤク</t>
    </rPh>
    <rPh sb="6" eb="8">
      <t>サナダ</t>
    </rPh>
    <rPh sb="8" eb="9">
      <t>トモ</t>
    </rPh>
    <rPh sb="9" eb="10">
      <t>ジュ</t>
    </rPh>
    <phoneticPr fontId="3"/>
  </si>
  <si>
    <t>（株）介福本舗　代表取締役　眞田友寿</t>
    <phoneticPr fontId="3"/>
  </si>
  <si>
    <t>□</t>
    <phoneticPr fontId="62"/>
  </si>
  <si>
    <t>・</t>
    <phoneticPr fontId="62"/>
  </si>
  <si>
    <t>その他</t>
    <rPh sb="2" eb="3">
      <t>タ</t>
    </rPh>
    <phoneticPr fontId="62"/>
  </si>
  <si>
    <t>●</t>
    <phoneticPr fontId="62"/>
  </si>
  <si>
    <t>簡易浴槽</t>
    <rPh sb="0" eb="2">
      <t>カンイ</t>
    </rPh>
    <rPh sb="2" eb="4">
      <t>ヨクソウ</t>
    </rPh>
    <phoneticPr fontId="62"/>
  </si>
  <si>
    <t>入浴補助用具</t>
    <rPh sb="0" eb="2">
      <t>ニュウヨク</t>
    </rPh>
    <rPh sb="2" eb="4">
      <t>ホジョ</t>
    </rPh>
    <rPh sb="4" eb="6">
      <t>ヨウグ</t>
    </rPh>
    <phoneticPr fontId="62"/>
  </si>
  <si>
    <t>特殊尿器　</t>
    <rPh sb="0" eb="2">
      <t>トクシュ</t>
    </rPh>
    <rPh sb="2" eb="3">
      <t>ニョウ</t>
    </rPh>
    <rPh sb="3" eb="4">
      <t>ウツワ</t>
    </rPh>
    <phoneticPr fontId="62"/>
  </si>
  <si>
    <t>腰掛便座</t>
    <rPh sb="0" eb="2">
      <t>コシカ</t>
    </rPh>
    <rPh sb="2" eb="4">
      <t>ベンザ</t>
    </rPh>
    <phoneticPr fontId="62"/>
  </si>
  <si>
    <t>移動用リフト</t>
    <rPh sb="0" eb="3">
      <t>イドウヨウ</t>
    </rPh>
    <phoneticPr fontId="62"/>
  </si>
  <si>
    <t>住宅改修により、利用者等は日常生活をどう変えたいか</t>
    <rPh sb="0" eb="2">
      <t>ジュウタク</t>
    </rPh>
    <rPh sb="2" eb="4">
      <t>カイシュウ</t>
    </rPh>
    <rPh sb="8" eb="11">
      <t>リヨウシャ</t>
    </rPh>
    <rPh sb="11" eb="12">
      <t>ナド</t>
    </rPh>
    <rPh sb="13" eb="15">
      <t>ニチジョウ</t>
    </rPh>
    <rPh sb="15" eb="17">
      <t>セイカツ</t>
    </rPh>
    <rPh sb="20" eb="21">
      <t>カ</t>
    </rPh>
    <phoneticPr fontId="62"/>
  </si>
  <si>
    <t>認知症老人徘徊感知機器</t>
    <rPh sb="0" eb="2">
      <t>ニンチ</t>
    </rPh>
    <rPh sb="2" eb="3">
      <t>ショウ</t>
    </rPh>
    <rPh sb="3" eb="5">
      <t>ロウジン</t>
    </rPh>
    <rPh sb="5" eb="7">
      <t>ハイカイ</t>
    </rPh>
    <rPh sb="7" eb="9">
      <t>カンチ</t>
    </rPh>
    <rPh sb="9" eb="11">
      <t>キキ</t>
    </rPh>
    <phoneticPr fontId="62"/>
  </si>
  <si>
    <t>歩行補助つえ</t>
    <rPh sb="0" eb="2">
      <t>ホコウ</t>
    </rPh>
    <rPh sb="2" eb="4">
      <t>ホジョ</t>
    </rPh>
    <phoneticPr fontId="62"/>
  </si>
  <si>
    <t>歩行器</t>
    <rPh sb="0" eb="2">
      <t>ホコウ</t>
    </rPh>
    <rPh sb="2" eb="3">
      <t>キ</t>
    </rPh>
    <phoneticPr fontId="62"/>
  </si>
  <si>
    <t>スロープ</t>
    <phoneticPr fontId="62"/>
  </si>
  <si>
    <t>手すり</t>
    <rPh sb="0" eb="1">
      <t>テ</t>
    </rPh>
    <phoneticPr fontId="62"/>
  </si>
  <si>
    <t>介護状況</t>
    <rPh sb="0" eb="2">
      <t>カイゴ</t>
    </rPh>
    <rPh sb="2" eb="4">
      <t>ジョウキョウ</t>
    </rPh>
    <phoneticPr fontId="62"/>
  </si>
  <si>
    <t>体位変換器</t>
    <rPh sb="0" eb="2">
      <t>タイイ</t>
    </rPh>
    <rPh sb="2" eb="4">
      <t>ヘンカン</t>
    </rPh>
    <rPh sb="4" eb="5">
      <t>ウツワ</t>
    </rPh>
    <phoneticPr fontId="62"/>
  </si>
  <si>
    <t>床ずれ防止用具</t>
    <rPh sb="0" eb="1">
      <t>トコ</t>
    </rPh>
    <rPh sb="3" eb="5">
      <t>ボウシ</t>
    </rPh>
    <rPh sb="5" eb="7">
      <t>ヨウグ</t>
    </rPh>
    <phoneticPr fontId="62"/>
  </si>
  <si>
    <t>特殊寝台</t>
    <rPh sb="0" eb="2">
      <t>トクシュ</t>
    </rPh>
    <rPh sb="2" eb="4">
      <t>シンダイ</t>
    </rPh>
    <phoneticPr fontId="62"/>
  </si>
  <si>
    <t>車いす</t>
    <rPh sb="0" eb="1">
      <t>クルマ</t>
    </rPh>
    <phoneticPr fontId="62"/>
  </si>
  <si>
    <t>後</t>
    <rPh sb="0" eb="1">
      <t>ゴ</t>
    </rPh>
    <phoneticPr fontId="62"/>
  </si>
  <si>
    <t>修</t>
    <rPh sb="0" eb="1">
      <t>オサム</t>
    </rPh>
    <phoneticPr fontId="62"/>
  </si>
  <si>
    <t>改</t>
    <rPh sb="0" eb="1">
      <t>アラタ</t>
    </rPh>
    <phoneticPr fontId="62"/>
  </si>
  <si>
    <t>前</t>
    <rPh sb="0" eb="1">
      <t>マエ</t>
    </rPh>
    <phoneticPr fontId="62"/>
  </si>
  <si>
    <t>住宅改修後の想定</t>
    <rPh sb="0" eb="2">
      <t>ジュウタク</t>
    </rPh>
    <rPh sb="2" eb="4">
      <t>カイシュウ</t>
    </rPh>
    <rPh sb="4" eb="5">
      <t>ゴ</t>
    </rPh>
    <rPh sb="6" eb="8">
      <t>ソウテイ</t>
    </rPh>
    <phoneticPr fontId="62"/>
  </si>
  <si>
    <t>福祉用具の利用状況と</t>
    <rPh sb="0" eb="2">
      <t>フクシ</t>
    </rPh>
    <rPh sb="2" eb="4">
      <t>ヨウグ</t>
    </rPh>
    <rPh sb="5" eb="7">
      <t>リヨウ</t>
    </rPh>
    <rPh sb="7" eb="9">
      <t>ジョウキョウ</t>
    </rPh>
    <phoneticPr fontId="62"/>
  </si>
  <si>
    <t>利用者の身体状況</t>
    <rPh sb="0" eb="3">
      <t>リヨウシャ</t>
    </rPh>
    <rPh sb="4" eb="6">
      <t>シンタイ</t>
    </rPh>
    <rPh sb="6" eb="8">
      <t>ジョウキョウ</t>
    </rPh>
    <phoneticPr fontId="62"/>
  </si>
  <si>
    <t>＜総合的状況＞</t>
    <rPh sb="1" eb="3">
      <t>ソウゴウ</t>
    </rPh>
    <rPh sb="3" eb="4">
      <t>テキ</t>
    </rPh>
    <rPh sb="4" eb="6">
      <t>ジョウキョウ</t>
    </rPh>
    <phoneticPr fontId="62"/>
  </si>
  <si>
    <t>氏名</t>
    <rPh sb="0" eb="2">
      <t>シメイ</t>
    </rPh>
    <phoneticPr fontId="62"/>
  </si>
  <si>
    <t>評価欄</t>
    <rPh sb="0" eb="2">
      <t>ヒョウカ</t>
    </rPh>
    <rPh sb="2" eb="3">
      <t>ラン</t>
    </rPh>
    <phoneticPr fontId="62"/>
  </si>
  <si>
    <t>日</t>
    <rPh sb="0" eb="1">
      <t>ヒ</t>
    </rPh>
    <phoneticPr fontId="62"/>
  </si>
  <si>
    <t>月</t>
    <rPh sb="0" eb="1">
      <t>ツキ</t>
    </rPh>
    <phoneticPr fontId="62"/>
  </si>
  <si>
    <t>年</t>
    <rPh sb="0" eb="1">
      <t>ネン</t>
    </rPh>
    <phoneticPr fontId="62"/>
  </si>
  <si>
    <t>確認日</t>
    <rPh sb="0" eb="2">
      <t>カクニン</t>
    </rPh>
    <rPh sb="2" eb="3">
      <t>ヒ</t>
    </rPh>
    <phoneticPr fontId="62"/>
  </si>
  <si>
    <t>保険者</t>
    <rPh sb="0" eb="3">
      <t>ホケンシャ</t>
    </rPh>
    <phoneticPr fontId="62"/>
  </si>
  <si>
    <t>連絡先</t>
    <rPh sb="0" eb="2">
      <t>レンラク</t>
    </rPh>
    <rPh sb="2" eb="3">
      <t>サキ</t>
    </rPh>
    <phoneticPr fontId="62"/>
  </si>
  <si>
    <t>住所</t>
    <rPh sb="0" eb="2">
      <t>ジュウショ</t>
    </rPh>
    <phoneticPr fontId="62"/>
  </si>
  <si>
    <t>（作成者が介護支援専門員でないとき）</t>
    <rPh sb="1" eb="4">
      <t>サクセイシャ</t>
    </rPh>
    <rPh sb="5" eb="7">
      <t>カイゴ</t>
    </rPh>
    <rPh sb="7" eb="9">
      <t>シエン</t>
    </rPh>
    <rPh sb="9" eb="11">
      <t>センモン</t>
    </rPh>
    <rPh sb="11" eb="12">
      <t>イン</t>
    </rPh>
    <phoneticPr fontId="62"/>
  </si>
  <si>
    <t>資格</t>
    <rPh sb="0" eb="2">
      <t>シカク</t>
    </rPh>
    <phoneticPr fontId="62"/>
  </si>
  <si>
    <t>１・２・３・４・５</t>
  </si>
  <si>
    <t>１・２</t>
    <phoneticPr fontId="62"/>
  </si>
  <si>
    <t>（該当に○）</t>
    <rPh sb="1" eb="3">
      <t>ガイトウ</t>
    </rPh>
    <phoneticPr fontId="62"/>
  </si>
  <si>
    <t>所属事業所</t>
    <rPh sb="0" eb="2">
      <t>ショゾク</t>
    </rPh>
    <rPh sb="2" eb="5">
      <t>ジギョウショ</t>
    </rPh>
    <phoneticPr fontId="62"/>
  </si>
  <si>
    <t>要介護</t>
    <rPh sb="0" eb="1">
      <t>ヨウ</t>
    </rPh>
    <rPh sb="1" eb="3">
      <t>カイゴ</t>
    </rPh>
    <phoneticPr fontId="62"/>
  </si>
  <si>
    <t>要支援</t>
    <rPh sb="0" eb="1">
      <t>ヨウ</t>
    </rPh>
    <rPh sb="1" eb="3">
      <t>シエン</t>
    </rPh>
    <phoneticPr fontId="62"/>
  </si>
  <si>
    <t>要介護認定</t>
    <rPh sb="0" eb="1">
      <t>ヨウ</t>
    </rPh>
    <rPh sb="1" eb="3">
      <t>カイゴ</t>
    </rPh>
    <rPh sb="3" eb="5">
      <t>ニンテイ</t>
    </rPh>
    <phoneticPr fontId="62"/>
  </si>
  <si>
    <t>被保険者氏名</t>
    <rPh sb="0" eb="1">
      <t>ヒ</t>
    </rPh>
    <rPh sb="1" eb="4">
      <t>ホケンシャ</t>
    </rPh>
    <rPh sb="4" eb="6">
      <t>シメイ</t>
    </rPh>
    <phoneticPr fontId="62"/>
  </si>
  <si>
    <t>昭和</t>
    <rPh sb="0" eb="2">
      <t>ショウワ</t>
    </rPh>
    <phoneticPr fontId="62"/>
  </si>
  <si>
    <t>日</t>
    <rPh sb="0" eb="1">
      <t>ニチ</t>
    </rPh>
    <phoneticPr fontId="66"/>
  </si>
  <si>
    <t>月</t>
    <rPh sb="0" eb="1">
      <t>ガツ</t>
    </rPh>
    <phoneticPr fontId="66"/>
  </si>
  <si>
    <t>年</t>
    <rPh sb="0" eb="1">
      <t>ネン</t>
    </rPh>
    <phoneticPr fontId="66"/>
  </si>
  <si>
    <t>大正</t>
    <rPh sb="0" eb="2">
      <t>タイショウ</t>
    </rPh>
    <phoneticPr fontId="62"/>
  </si>
  <si>
    <t>生年月日</t>
    <rPh sb="0" eb="2">
      <t>セイネン</t>
    </rPh>
    <rPh sb="2" eb="3">
      <t>ツキ</t>
    </rPh>
    <rPh sb="3" eb="4">
      <t>ヒ</t>
    </rPh>
    <phoneticPr fontId="62"/>
  </si>
  <si>
    <t>歳</t>
    <rPh sb="0" eb="1">
      <t>サイ</t>
    </rPh>
    <phoneticPr fontId="66"/>
  </si>
  <si>
    <t>年齢</t>
    <rPh sb="0" eb="2">
      <t>ネンレイ</t>
    </rPh>
    <phoneticPr fontId="66"/>
  </si>
  <si>
    <t>作成日</t>
    <rPh sb="0" eb="3">
      <t>サクセイビ</t>
    </rPh>
    <phoneticPr fontId="62"/>
  </si>
  <si>
    <t>現地確認日</t>
    <rPh sb="0" eb="2">
      <t>ゲンチ</t>
    </rPh>
    <rPh sb="2" eb="4">
      <t>カクニン</t>
    </rPh>
    <rPh sb="4" eb="5">
      <t>ヒ</t>
    </rPh>
    <phoneticPr fontId="62"/>
  </si>
  <si>
    <t>作成者</t>
    <rPh sb="0" eb="3">
      <t>サクセイシャ</t>
    </rPh>
    <phoneticPr fontId="62"/>
  </si>
  <si>
    <t>明治</t>
    <rPh sb="0" eb="2">
      <t>メイジ</t>
    </rPh>
    <phoneticPr fontId="62"/>
  </si>
  <si>
    <t>被保険者番号</t>
    <rPh sb="0" eb="4">
      <t>ヒホケンシャ</t>
    </rPh>
    <rPh sb="4" eb="6">
      <t>バンゴウ</t>
    </rPh>
    <phoneticPr fontId="62"/>
  </si>
  <si>
    <t>利用者</t>
    <rPh sb="0" eb="3">
      <t>リヨウシャ</t>
    </rPh>
    <phoneticPr fontId="62"/>
  </si>
  <si>
    <t>＜基本情報＞</t>
    <rPh sb="1" eb="3">
      <t>キホン</t>
    </rPh>
    <rPh sb="3" eb="5">
      <t>ジョウホウ</t>
    </rPh>
    <phoneticPr fontId="62"/>
  </si>
  <si>
    <t>住宅改修が必要な理由書</t>
    <rPh sb="0" eb="2">
      <t>ジュウタク</t>
    </rPh>
    <rPh sb="2" eb="4">
      <t>カイシュウ</t>
    </rPh>
    <rPh sb="5" eb="7">
      <t>ヒツヨウ</t>
    </rPh>
    <rPh sb="8" eb="11">
      <t>リユウショ</t>
    </rPh>
    <phoneticPr fontId="62"/>
  </si>
  <si>
    <t>仕入金額（税抜）</t>
    <rPh sb="0" eb="4">
      <t>シイレキンガク</t>
    </rPh>
    <rPh sb="5" eb="7">
      <t>ゼイヌキ</t>
    </rPh>
    <phoneticPr fontId="3"/>
  </si>
  <si>
    <t>BD-134</t>
    <phoneticPr fontId="3"/>
  </si>
  <si>
    <t xml:space="preserve">BD-51B </t>
    <phoneticPr fontId="3"/>
  </si>
  <si>
    <t xml:space="preserve">BD-13B </t>
    <phoneticPr fontId="3"/>
  </si>
  <si>
    <t>BD-124</t>
    <phoneticPr fontId="3"/>
  </si>
  <si>
    <t>BD-112</t>
    <phoneticPr fontId="3"/>
  </si>
  <si>
    <t>BD-114</t>
    <phoneticPr fontId="3"/>
  </si>
  <si>
    <t>BH-412</t>
    <phoneticPr fontId="3"/>
  </si>
  <si>
    <t>品番</t>
    <rPh sb="0" eb="2">
      <t>ヒンバン</t>
    </rPh>
    <phoneticPr fontId="3"/>
  </si>
  <si>
    <t xml:space="preserve">BD-132 </t>
    <phoneticPr fontId="3"/>
  </si>
  <si>
    <t>BH-422</t>
    <phoneticPr fontId="3"/>
  </si>
  <si>
    <t>BH-342</t>
    <phoneticPr fontId="3"/>
  </si>
  <si>
    <t>BH-414</t>
    <phoneticPr fontId="3"/>
  </si>
  <si>
    <t xml:space="preserve">BH-444 </t>
    <phoneticPr fontId="3"/>
  </si>
  <si>
    <t xml:space="preserve">BH-424 </t>
    <phoneticPr fontId="3"/>
  </si>
  <si>
    <t>35φ ﾌﾞﾗｹｯﾄ横型ｶﾊﾞｰ付  040-1010 ﾌﾞﾗｳﾝ</t>
    <phoneticPr fontId="3"/>
  </si>
  <si>
    <t xml:space="preserve">BD-01B </t>
    <phoneticPr fontId="3"/>
  </si>
  <si>
    <t>35φ ﾌﾞﾗｹｯﾄ横型ｶﾊﾞｰ付  040-1011  ｺﾞｰﾙﾄﾞ</t>
    <phoneticPr fontId="3"/>
  </si>
  <si>
    <t>BD-01G</t>
    <phoneticPr fontId="3"/>
  </si>
  <si>
    <t>BD-01S</t>
    <phoneticPr fontId="3"/>
  </si>
  <si>
    <t>35φ ﾌﾞﾗｹｯﾄ横型ｶﾊﾞｰ付  040-1012 ｼﾙﾊﾞｰ</t>
    <phoneticPr fontId="3"/>
  </si>
  <si>
    <t>35φ ｴﾝﾄﾞﾌﾞﾗｹｯﾄｶﾊﾞ-付 040-1046 ｺﾞｰﾙﾄﾞ</t>
    <phoneticPr fontId="3"/>
  </si>
  <si>
    <t>BD-08B</t>
    <phoneticPr fontId="3"/>
  </si>
  <si>
    <t>BD-08S</t>
    <phoneticPr fontId="3"/>
  </si>
  <si>
    <t>35φｴﾝﾄﾞﾌﾞﾗｹｯﾄｶﾊﾞ-付 040-1045 ﾌﾞﾗｳﾝ</t>
    <phoneticPr fontId="3"/>
  </si>
  <si>
    <t>35φ ｴﾝﾄﾞﾌﾞﾗｹｯﾄｶﾊﾞ-付 040-1047 ｼﾙﾊﾞｰ</t>
    <phoneticPr fontId="3"/>
  </si>
  <si>
    <t>35φ 入隅用ｴﾝﾄﾞﾌﾞﾗｹｯﾄｶﾊﾞ-付 040-5025 ﾌﾞﾗｳﾝ</t>
    <phoneticPr fontId="3"/>
  </si>
  <si>
    <t>BD-51G</t>
    <phoneticPr fontId="3"/>
  </si>
  <si>
    <t>35φ 入隅用ｴﾝﾄﾞﾌﾞﾗｹｯﾄｶﾊﾞ-付 040-5026 ｺﾞｰﾙﾄﾞ</t>
    <phoneticPr fontId="3"/>
  </si>
  <si>
    <t>BD-51S</t>
    <phoneticPr fontId="3"/>
  </si>
  <si>
    <t>35φ 入隅用ｴﾝﾄﾞﾌﾞﾗｹｯﾄｶﾊﾞ-付 040-5027</t>
    <phoneticPr fontId="3"/>
  </si>
  <si>
    <t>35φ ｺｰﾅﾌﾞﾗｹｯﾄ  040-1075 ﾌﾞﾗｳﾝ</t>
    <phoneticPr fontId="3"/>
  </si>
  <si>
    <t>35φ ｺｰﾅﾌﾞﾗｹｯﾄ  040-1076 ｺﾞｰﾙﾄﾞ</t>
    <phoneticPr fontId="3"/>
  </si>
  <si>
    <t>BD-13S</t>
    <phoneticPr fontId="3"/>
  </si>
  <si>
    <t>35φ ｺｰﾅﾌﾞﾗｹｯﾄ  040-1077 ｼﾙﾊﾞｰ</t>
    <phoneticPr fontId="3"/>
  </si>
  <si>
    <t>BD-14B</t>
    <phoneticPr fontId="3"/>
  </si>
  <si>
    <t>BD-14G</t>
    <phoneticPr fontId="3"/>
  </si>
  <si>
    <t>35φ 出隅ﾌﾞﾗｹｯﾄｶﾊﾞ-付き  040-1081 ｺﾞｰﾙﾄﾞ</t>
    <phoneticPr fontId="3"/>
  </si>
  <si>
    <t>BD-14S</t>
    <phoneticPr fontId="3"/>
  </si>
  <si>
    <t>35φ 出隅ﾌﾞﾗｹｯﾄｶﾊﾞ-付き  040-1082 ｼﾙﾊﾞｰ</t>
    <phoneticPr fontId="3"/>
  </si>
  <si>
    <t>BD-45B</t>
    <phoneticPr fontId="3"/>
  </si>
  <si>
    <t>35φ 出隅ｽﾘﾑ座ﾌﾞﾗｹｯﾄｶﾊﾞｰﾂｷ  040-1137 ﾌﾞﾗｳﾝ</t>
    <phoneticPr fontId="3"/>
  </si>
  <si>
    <t>BD-45G</t>
    <phoneticPr fontId="3"/>
  </si>
  <si>
    <t>35φ 出隅ｽﾘﾑ座ﾌﾞﾗｹｯﾄｶﾊﾞｰﾂｷ   040-1138 ｺﾞｰﾙﾄﾞ</t>
    <phoneticPr fontId="3"/>
  </si>
  <si>
    <t>BD-45S</t>
    <phoneticPr fontId="3"/>
  </si>
  <si>
    <t>35φ 出隅ｽﾘﾑ座ﾌﾞﾗｹｯﾄｶﾊﾞｰﾂｷ   040-1139</t>
    <phoneticPr fontId="3"/>
  </si>
  <si>
    <t>BD-10LG</t>
    <phoneticPr fontId="3"/>
  </si>
  <si>
    <t>35φ 横受ｴﾝﾄﾞﾌﾞﾗｹｯﾄ 左用 040-1061</t>
    <phoneticPr fontId="3"/>
  </si>
  <si>
    <t>35φ 横受ｴﾝﾄﾞﾌﾞﾗｹｯﾄ 右用  040-1056</t>
    <phoneticPr fontId="3"/>
  </si>
  <si>
    <t xml:space="preserve">BD-10RG </t>
    <phoneticPr fontId="3"/>
  </si>
  <si>
    <t>BD-05G</t>
    <phoneticPr fontId="3"/>
  </si>
  <si>
    <t>35φﾌﾞﾗｹｯﾄ縦型ｶﾊﾞｰ付 040-1031 ｺﾞｰﾙﾄﾞ</t>
    <phoneticPr fontId="3"/>
  </si>
  <si>
    <t>35φﾌﾞﾗｹｯﾄ縦型ｶﾊﾞｰ付 040-1030 ﾌﾞﾗｳﾝ</t>
    <phoneticPr fontId="3"/>
  </si>
  <si>
    <t xml:space="preserve">BD-05B </t>
    <phoneticPr fontId="3"/>
  </si>
  <si>
    <t>35φﾌﾞﾗｹｯﾄ縦型ｶﾊﾞｰ付 040-1032 ｼﾙﾊﾞｰ</t>
    <phoneticPr fontId="3"/>
  </si>
  <si>
    <t xml:space="preserve">BD-05S </t>
    <phoneticPr fontId="3"/>
  </si>
  <si>
    <t>BD-122</t>
    <phoneticPr fontId="3"/>
  </si>
  <si>
    <t>TS136GLU64</t>
    <phoneticPr fontId="3"/>
  </si>
  <si>
    <t>TS136GY7</t>
    <phoneticPr fontId="3"/>
  </si>
  <si>
    <t>TS136GY9</t>
    <phoneticPr fontId="3"/>
  </si>
  <si>
    <t>TS136GY4R</t>
    <phoneticPr fontId="3"/>
  </si>
  <si>
    <t>ｲﾝﾃﾘｱ・ﾊﾞｰ Ｆｼﾘｰｽﾞ Ｉﾀｲﾌﾟ（ｿﾌﾄﾒｯｼｭ）/#NW1ﾎﾜｲﾄ/L400</t>
    <phoneticPr fontId="3"/>
  </si>
  <si>
    <t>TS136GY5</t>
    <phoneticPr fontId="3"/>
  </si>
  <si>
    <t>ｲﾝﾃﾘｱ・ﾊﾞｰ Ｆｼﾘｰｽﾞ Ｉﾀｲﾌﾟ（ｿﾌﾄﾒｯｼｭ）/#NW1ﾎﾜｲﾄ/L500</t>
    <phoneticPr fontId="3"/>
  </si>
  <si>
    <t>ｲﾝﾃﾘｱ・ﾊﾞｰ Fｼﾘｰｽﾞ Ｉﾀｲﾌﾟ（ｿﾌﾄﾒｯｼｭ）/#NW1ﾎﾜｲﾄ/L600</t>
    <phoneticPr fontId="3"/>
  </si>
  <si>
    <t>TS136GY8R</t>
    <phoneticPr fontId="3"/>
  </si>
  <si>
    <t>TS136GY12</t>
    <phoneticPr fontId="3"/>
  </si>
  <si>
    <t>TS136GLY64</t>
    <phoneticPr fontId="3"/>
  </si>
  <si>
    <t>ｲﾝﾃﾘｱ･ﾊﾞｰFｼﾘｰｽﾞ(Lﾀｲﾌﾟｿﾌﾄﾒｯｼｭ)/#NW1ﾎﾜｲﾄ/L600×400</t>
    <phoneticPr fontId="3"/>
  </si>
  <si>
    <t>TS136GLY66</t>
    <phoneticPr fontId="3"/>
  </si>
  <si>
    <t>ｲﾝﾃﾘｱ･ﾊﾞｰFｼﾘｰｽﾞ(Lﾀｲﾌﾟｿﾌﾄﾒｯｼｭ)/#NW1ﾎﾜｲﾄ/L600×600</t>
    <phoneticPr fontId="3"/>
  </si>
  <si>
    <t>TS136GU4</t>
    <phoneticPr fontId="3"/>
  </si>
  <si>
    <t>ｲﾝﾃﾘｱ･ﾊﾞｰFｼﾘｰｽﾞ(UB後付け Iﾀｲﾌﾟ)/#NW1ﾎﾜｲﾄ/L400</t>
    <phoneticPr fontId="3"/>
  </si>
  <si>
    <t>TS136GU5</t>
    <phoneticPr fontId="3"/>
  </si>
  <si>
    <t>ｲﾝﾃﾘｱ･ﾊﾞｰFｼﾘｰｽﾞ(UB後付け Iﾀｲﾌﾟ)/#NW1ﾎﾜｲﾄ/L500</t>
    <phoneticPr fontId="3"/>
  </si>
  <si>
    <t>TS136GU6</t>
    <phoneticPr fontId="3"/>
  </si>
  <si>
    <t>ｲﾝﾃﾘｱ･ﾊﾞｰFｼﾘｰｽﾞ(UB後付け Iﾀｲﾌﾟ)/#NW1ﾎﾜｲﾄ/L600</t>
    <phoneticPr fontId="3"/>
  </si>
  <si>
    <t>TS134GLCY6S</t>
    <phoneticPr fontId="3"/>
  </si>
  <si>
    <t>35φ 出隅ﾌﾞﾗｹｯﾄｶﾊﾞ-付き 040-1080</t>
    <phoneticPr fontId="3"/>
  </si>
  <si>
    <t>商品名 【マツロク】</t>
    <rPh sb="0" eb="3">
      <t>ショウヒンメイ</t>
    </rPh>
    <phoneticPr fontId="3"/>
  </si>
  <si>
    <t>商品名 【インテリアバー】</t>
    <rPh sb="0" eb="3">
      <t>ショウヒンメイ</t>
    </rPh>
    <phoneticPr fontId="3"/>
  </si>
  <si>
    <t>TS136GCY6</t>
    <phoneticPr fontId="3"/>
  </si>
  <si>
    <t>BJ-22WD</t>
    <phoneticPr fontId="3"/>
  </si>
  <si>
    <t>BJ-21WD</t>
    <phoneticPr fontId="3"/>
  </si>
  <si>
    <t>BJ-20WN</t>
    <phoneticPr fontId="3"/>
  </si>
  <si>
    <t>BJ-19WN</t>
    <phoneticPr fontId="3"/>
  </si>
  <si>
    <t>BJ-47PC</t>
    <phoneticPr fontId="3"/>
  </si>
  <si>
    <t>BJ-46PC</t>
    <phoneticPr fontId="3"/>
  </si>
  <si>
    <t>商品名【矢崎】</t>
    <rPh sb="0" eb="3">
      <t>ショウヒンメイ</t>
    </rPh>
    <rPh sb="4" eb="6">
      <t>ヤザキ</t>
    </rPh>
    <phoneticPr fontId="3"/>
  </si>
  <si>
    <t>CYA-4000 MGR</t>
    <phoneticPr fontId="3"/>
  </si>
  <si>
    <t>CYA-4000 MLB</t>
    <phoneticPr fontId="3"/>
  </si>
  <si>
    <t>CYA-4000 SGD</t>
    <phoneticPr fontId="3"/>
  </si>
  <si>
    <t>SCD6-4000 MGR</t>
    <phoneticPr fontId="3"/>
  </si>
  <si>
    <t>SCD6-4000 MLB</t>
    <phoneticPr fontId="3"/>
  </si>
  <si>
    <t>SCD6-4000 SGD</t>
    <phoneticPr fontId="3"/>
  </si>
  <si>
    <t>ECA-5028F　MGR</t>
    <phoneticPr fontId="3"/>
  </si>
  <si>
    <t>34φ自在ｼﾞｮｲﾝﾄF/ﾒﾀﾘｯｸｸﾞﾚｰ</t>
    <phoneticPr fontId="3"/>
  </si>
  <si>
    <t>34φ自在ｼﾞｮｲﾝﾄF/ﾒﾀﾘｯｸﾗｲﾄﾌﾞﾗｳﾝ</t>
    <phoneticPr fontId="3"/>
  </si>
  <si>
    <t>ECA-5028F　MLB</t>
    <phoneticPr fontId="3"/>
  </si>
  <si>
    <t>34φ 自在ｼﾞｮｲﾝﾄF/ｼｬﾝﾊﾟﾝｺﾞｰﾙﾄﾞ</t>
    <phoneticPr fontId="3"/>
  </si>
  <si>
    <t>34φ ﾌﾘｰ支柱ｼﾞｮｲﾝﾄ/ﾒﾀﾘｯｸｸﾞﾚｰ</t>
    <phoneticPr fontId="3"/>
  </si>
  <si>
    <t>ECA-5028F SGD</t>
    <phoneticPr fontId="3"/>
  </si>
  <si>
    <t>ECA-5028D MGR</t>
    <phoneticPr fontId="3"/>
  </si>
  <si>
    <t>ECA-5028D MLB</t>
    <phoneticPr fontId="3"/>
  </si>
  <si>
    <t>34φ ﾌﾘｰ支柱ｼﾞｮｲﾝﾄ/ﾒﾀﾘｯｸﾗｲﾄﾌﾞﾗｳﾝ</t>
    <phoneticPr fontId="3"/>
  </si>
  <si>
    <t>ECA-5028D SGD</t>
    <phoneticPr fontId="3"/>
  </si>
  <si>
    <t>34φ ﾌﾘｰ支柱ｼﾞｮｲﾝﾄ/ｼｬﾝﾊﾟﾝｺﾞｰﾙﾄﾞ</t>
    <phoneticPr fontId="3"/>
  </si>
  <si>
    <t>EC-5006KS MGR</t>
    <phoneticPr fontId="3"/>
  </si>
  <si>
    <t>34φ ｺﾝｸﾘ-ﾄｶﾊﾞ-/ﾒﾀﾘｯｸｸﾞﾚｰ</t>
    <phoneticPr fontId="3"/>
  </si>
  <si>
    <t>EC-5006KS MLB</t>
    <phoneticPr fontId="3"/>
  </si>
  <si>
    <t>34φ ｺﾝｸﾘ-ﾄｶﾊﾞ-/ﾒﾀﾘｯｸﾗｲﾄﾌﾞﾗｳﾝ</t>
    <phoneticPr fontId="3"/>
  </si>
  <si>
    <t>34φ ｺﾝｸﾘ-ﾄｶﾊﾞ/ｼｬﾝﾊﾟﾝｺﾞｰﾙﾄﾞ</t>
    <phoneticPr fontId="3"/>
  </si>
  <si>
    <t>EC-5006KS SGD</t>
    <phoneticPr fontId="3"/>
  </si>
  <si>
    <t>EC-5012E MGR</t>
    <phoneticPr fontId="3"/>
  </si>
  <si>
    <t>34φ 自在ﾁｰｽﾞE/ﾒﾀﾘｯｸｸﾞﾚｰ</t>
    <phoneticPr fontId="3"/>
  </si>
  <si>
    <t>34φ 自在ﾁｰｽﾞE/ﾒﾀﾘｯｸﾌﾞﾗｳﾝ</t>
    <phoneticPr fontId="3"/>
  </si>
  <si>
    <t>EC-5012E MLB</t>
    <phoneticPr fontId="3"/>
  </si>
  <si>
    <t>EC-5012E SGD</t>
    <phoneticPr fontId="3"/>
  </si>
  <si>
    <t>34φ 自在ﾁｰｽﾞE/ｼｬﾝﾊﾟﾝｺﾞｰﾙﾄﾞ</t>
    <phoneticPr fontId="3"/>
  </si>
  <si>
    <t>SCD6-2000　MLB</t>
    <phoneticPr fontId="3"/>
  </si>
  <si>
    <t>SCD6-2000　MGR</t>
    <phoneticPr fontId="3"/>
  </si>
  <si>
    <t>SCD6-2000　SGD</t>
    <phoneticPr fontId="3"/>
  </si>
  <si>
    <t>その他</t>
    <rPh sb="2" eb="3">
      <t>ホカ</t>
    </rPh>
    <phoneticPr fontId="3"/>
  </si>
  <si>
    <t>浴室折れ戸</t>
    <phoneticPr fontId="3"/>
  </si>
  <si>
    <t>あんから接着剤ｾｯﾄ</t>
    <phoneticPr fontId="3"/>
  </si>
  <si>
    <t>あんから用目皿ﾍﾞｰｽ</t>
    <phoneticPr fontId="3"/>
  </si>
  <si>
    <t>あんからﾌﾟﾗｽ</t>
    <phoneticPr fontId="3"/>
  </si>
  <si>
    <t>施工費</t>
    <rPh sb="0" eb="2">
      <t>セコウ</t>
    </rPh>
    <rPh sb="2" eb="3">
      <t>ヒ</t>
    </rPh>
    <phoneticPr fontId="3"/>
  </si>
  <si>
    <t>材料費【その他仕入】</t>
    <phoneticPr fontId="3"/>
  </si>
  <si>
    <t>FRF-1000A</t>
    <phoneticPr fontId="3"/>
  </si>
  <si>
    <t>滑りにくい ﾌﾗｯﾄﾚ-ﾙ</t>
    <phoneticPr fontId="3"/>
  </si>
  <si>
    <t>FRH-1000A</t>
  </si>
  <si>
    <t>滑りにくい ﾌﾗｯﾄﾚｰﾙ（への字）/179-1010</t>
    <phoneticPr fontId="3"/>
  </si>
  <si>
    <t>ECA-5044A MLB</t>
    <phoneticPr fontId="3"/>
  </si>
  <si>
    <t>34φ ｴﾙﾎﾞｷｬｯﾌﾟA /ﾒﾀﾘｯｸﾗｲﾄﾌﾞﾗｳﾝ/MLB</t>
    <phoneticPr fontId="3"/>
  </si>
  <si>
    <t>34φ ｴﾙﾎﾞｷｬｯﾌﾟA /ﾒﾀﾘｯｸｸﾞﾚｰ/MGR</t>
    <phoneticPr fontId="3"/>
  </si>
  <si>
    <t>ECA-5044A MGR</t>
    <phoneticPr fontId="3"/>
  </si>
  <si>
    <t>ECA-5044 SGD</t>
    <phoneticPr fontId="3"/>
  </si>
  <si>
    <t>BJ-04ST</t>
    <phoneticPr fontId="3"/>
  </si>
  <si>
    <t>ﾌﾘｰRﾚｰﾙ 壁付ﾌﾞﾗｹｯﾄ 040-2880 ﾀﾞ-ｸﾌﾞﾛﾝｽﾞ</t>
    <phoneticPr fontId="3"/>
  </si>
  <si>
    <t>BJ-80DB</t>
    <phoneticPr fontId="3"/>
  </si>
  <si>
    <t>BJ-167ST</t>
    <phoneticPr fontId="3"/>
  </si>
  <si>
    <t>ﾌﾘ-Rﾚ-ﾙ壁付ﾌﾞﾗｹｯﾄ縦型 040-2967 ﾀﾞ-ｸﾌﾞﾛﾝｽﾞ</t>
    <phoneticPr fontId="3"/>
  </si>
  <si>
    <t>ﾌﾘ-Rﾚ-ﾙ壁付ﾌﾞﾗｹｯﾄ縦型 040-2967  ｽﾃﾝｶﾗｰ</t>
    <phoneticPr fontId="3"/>
  </si>
  <si>
    <t>ﾌﾘｰRﾚｰﾙ 壁付ﾌﾞﾗｹｯﾄ 040-2804 ｽﾃﾝｶﾗｰ</t>
    <phoneticPr fontId="3"/>
  </si>
  <si>
    <t>BJ-168DB</t>
    <phoneticPr fontId="3"/>
  </si>
  <si>
    <t>BJ-129ST</t>
    <phoneticPr fontId="3"/>
  </si>
  <si>
    <t>ﾌﾘ-Rﾚ-ﾙ ｴﾝﾄﾞﾌﾞﾗｹｯﾄN 040-2929 ｽﾃﾝｶﾗｰ</t>
    <phoneticPr fontId="3"/>
  </si>
  <si>
    <t>BJ-130DB</t>
    <phoneticPr fontId="3"/>
  </si>
  <si>
    <t>ﾌﾘｰRﾚｰﾙ ｴﾝﾄﾞﾌﾞﾗｹｯﾄN 040-2930  ﾀﾞ-ｸﾌﾞﾛﾝｽﾞ</t>
    <phoneticPr fontId="3"/>
  </si>
  <si>
    <t>BJ-60ST</t>
    <phoneticPr fontId="3"/>
  </si>
  <si>
    <t>ﾌﾘｰRﾚｰﾙ EｴﾝﾄﾞﾌﾞﾗｹｯﾄN 040-2860  ｽﾃﾝｶﾗｰ</t>
    <phoneticPr fontId="3"/>
  </si>
  <si>
    <t>BJ-100DB</t>
    <phoneticPr fontId="3"/>
  </si>
  <si>
    <t>ﾌﾘ-Rﾚ-ﾙ EｴﾝﾄﾞﾌﾞﾗｹｯﾄN 040-2900 ﾀﾞ-ｸﾌﾞﾛﾝｽﾞ</t>
    <phoneticPr fontId="3"/>
  </si>
  <si>
    <t>BJ-165ST</t>
    <phoneticPr fontId="3"/>
  </si>
  <si>
    <t>ﾌﾘ-Rﾚ-ﾙ 自在ﾌﾞﾗｹｯﾄ 040-2965  ｽﾃﾝｶﾗｰ</t>
    <phoneticPr fontId="3"/>
  </si>
  <si>
    <t>BJ-166DB</t>
    <phoneticPr fontId="3"/>
  </si>
  <si>
    <t>ﾌﾘ-Rﾚ-ﾙ 自在ﾌﾞﾗｹｯﾄ 040-2966  ﾀﾞ-ｸﾌﾞﾛﾝｽﾞ</t>
    <phoneticPr fontId="3"/>
  </si>
  <si>
    <t>BJ-170DB</t>
  </si>
  <si>
    <t>ﾌﾘｰRﾚｰﾙ 丸棒用自在ｿｹｯﾄ 040-2970  ﾀﾞｰｸﾌﾞﾛﾝｽﾞ</t>
    <phoneticPr fontId="3"/>
  </si>
  <si>
    <t>BJ-169ST</t>
    <phoneticPr fontId="3"/>
  </si>
  <si>
    <t>ﾌﾘｰRﾚｰﾙ 丸棒用自在ｿｹｯﾄ 040-2969  ｽﾃﾝｶﾗｰ</t>
    <phoneticPr fontId="3"/>
  </si>
  <si>
    <t>BD-18S</t>
    <phoneticPr fontId="3"/>
  </si>
  <si>
    <t>35φ自在ｼﾞｮｲﾝﾄ 040-1107 ｼﾙﾊﾞｰ</t>
    <phoneticPr fontId="3"/>
  </si>
  <si>
    <t>35φ 自在ｼﾞｮｲﾝﾄ 040-1106 ｺﾞｰﾙﾄﾞ</t>
    <phoneticPr fontId="3"/>
  </si>
  <si>
    <t>BD-18G</t>
    <phoneticPr fontId="3"/>
  </si>
  <si>
    <t>BD-18B</t>
    <phoneticPr fontId="3"/>
  </si>
  <si>
    <t>35φ 自在ｼﾞｮｲﾝﾄ 040-1105 ﾌﾞﾗｳﾝ</t>
    <phoneticPr fontId="3"/>
  </si>
  <si>
    <t>木製ｽﾍﾟｰｻｰ小判座用 040-2250 6mm</t>
    <phoneticPr fontId="3"/>
  </si>
  <si>
    <t>BH-05</t>
    <phoneticPr fontId="3"/>
  </si>
  <si>
    <t>BH-06</t>
    <phoneticPr fontId="3"/>
  </si>
  <si>
    <t>木製ｽﾍﾟｰｻｰ小判座用 040-2260 9mm</t>
    <phoneticPr fontId="3"/>
  </si>
  <si>
    <t>BJ-90DB</t>
    <phoneticPr fontId="3"/>
  </si>
  <si>
    <t>BJ-42ST</t>
    <phoneticPr fontId="3"/>
  </si>
  <si>
    <t>ﾌﾘ-Rﾚ-ﾙ E埋め込み式ｴﾝﾄﾞ支柱 040-2842 ｽﾃﾝｶﾗｰ</t>
    <phoneticPr fontId="3"/>
  </si>
  <si>
    <t>ﾌﾘ-Rﾚ-ﾙ E埋め込み式ｴﾝﾄﾞ支柱 040-2890 ﾀﾞｰｸﾌﾞﾛﾝｽﾞ</t>
    <phoneticPr fontId="3"/>
  </si>
  <si>
    <t>BJ-77ST</t>
    <phoneticPr fontId="3"/>
  </si>
  <si>
    <t>BJ-103DB</t>
    <phoneticPr fontId="3"/>
  </si>
  <si>
    <t>BJ-89DB</t>
    <phoneticPr fontId="3"/>
  </si>
  <si>
    <t>BJ-41ST</t>
    <phoneticPr fontId="3"/>
  </si>
  <si>
    <t>BH-04MB</t>
    <phoneticPr fontId="3"/>
  </si>
  <si>
    <t>PCﾍﾞ-ｽｴﾝﾄﾞｺ-ﾅ- 120mm 040-2240</t>
    <phoneticPr fontId="3"/>
  </si>
  <si>
    <t>BJ-113DB</t>
    <phoneticPr fontId="3"/>
  </si>
  <si>
    <t>ﾌﾘ-Rﾚ-ﾙ 埋め込み式支柱用化粧ｶﾊﾞｰ040-2808</t>
    <phoneticPr fontId="3"/>
  </si>
  <si>
    <t>BJ-08</t>
    <phoneticPr fontId="3"/>
  </si>
  <si>
    <t>ﾌﾘ-Rﾚ-ﾙ 埋め込み式支柱用化粧ｶﾊﾞｰ 040-2913 ﾀﾞ-ｸﾌﾞﾛﾝｽﾞ</t>
    <phoneticPr fontId="3"/>
  </si>
  <si>
    <t>オーダー踏み台【矢崎】</t>
    <rPh sb="4" eb="5">
      <t>フ</t>
    </rPh>
    <rPh sb="6" eb="7">
      <t>ダイ</t>
    </rPh>
    <rPh sb="8" eb="10">
      <t>ヤザキ</t>
    </rPh>
    <phoneticPr fontId="3"/>
  </si>
  <si>
    <t>木製玄関台【アロン化成】</t>
    <rPh sb="0" eb="2">
      <t>モクセイ</t>
    </rPh>
    <rPh sb="2" eb="4">
      <t>ゲンカン</t>
    </rPh>
    <rPh sb="4" eb="5">
      <t>ダイ</t>
    </rPh>
    <rPh sb="9" eb="11">
      <t>カセイ</t>
    </rPh>
    <phoneticPr fontId="3"/>
  </si>
  <si>
    <t>定価</t>
    <rPh sb="0" eb="2">
      <t>テイカ</t>
    </rPh>
    <phoneticPr fontId="3"/>
  </si>
  <si>
    <t>BJ-142DBPC</t>
    <phoneticPr fontId="3"/>
  </si>
  <si>
    <t>BJ-137STWD</t>
    <phoneticPr fontId="3"/>
  </si>
  <si>
    <t>ﾌﾘｰRﾚｰﾙ 埋め込み式ｇ型ｽﾀﾝﾄﾞ 040-2937 ｽﾃﾝｶﾗｰ+木目ﾀﾞｰｸ</t>
    <rPh sb="8" eb="9">
      <t>ウ</t>
    </rPh>
    <rPh sb="10" eb="11">
      <t>コ</t>
    </rPh>
    <rPh sb="12" eb="13">
      <t>シキ</t>
    </rPh>
    <rPh sb="14" eb="15">
      <t>ガタ</t>
    </rPh>
    <rPh sb="37" eb="39">
      <t>モクメ</t>
    </rPh>
    <phoneticPr fontId="3"/>
  </si>
  <si>
    <t>BJ-138STWN</t>
    <phoneticPr fontId="3"/>
  </si>
  <si>
    <t>ﾌﾘｰRﾚｰﾙ 埋め込み式ｇ型ｽﾀﾝﾄﾞ 040-2938 ｽﾃﾝｶﾗｰ+木目ﾅﾁｭﾗﾙ</t>
    <rPh sb="8" eb="9">
      <t>ウ</t>
    </rPh>
    <rPh sb="10" eb="11">
      <t>コ</t>
    </rPh>
    <rPh sb="12" eb="13">
      <t>シキ</t>
    </rPh>
    <rPh sb="14" eb="15">
      <t>ガタ</t>
    </rPh>
    <rPh sb="37" eb="39">
      <t>モクメ</t>
    </rPh>
    <phoneticPr fontId="3"/>
  </si>
  <si>
    <t>ﾌﾘｰRﾚｰﾙ 埋め込み式ｇ型ｽﾀﾝﾄﾞ 040-2939 ｽﾃﾝｶﾗｰ+ﾁｮｺﾚｰﾄ</t>
    <rPh sb="8" eb="9">
      <t>ウ</t>
    </rPh>
    <rPh sb="10" eb="11">
      <t>コ</t>
    </rPh>
    <rPh sb="12" eb="13">
      <t>シキ</t>
    </rPh>
    <rPh sb="14" eb="15">
      <t>ガタ</t>
    </rPh>
    <phoneticPr fontId="3"/>
  </si>
  <si>
    <t>BJ-139STPC</t>
    <phoneticPr fontId="3"/>
  </si>
  <si>
    <t>BJ-140DBWD</t>
    <phoneticPr fontId="3"/>
  </si>
  <si>
    <t>BJ-141DBWN</t>
    <phoneticPr fontId="3"/>
  </si>
  <si>
    <t>ﾌﾘｰRﾚｰﾙ 埋め込み式ｇ型ｽﾀﾝﾄﾞ 040-2940 ﾀﾞｰｸﾌﾞﾛﾝｽﾞ+木目ﾀﾞｰｸ</t>
    <rPh sb="8" eb="9">
      <t>ウ</t>
    </rPh>
    <rPh sb="10" eb="11">
      <t>コ</t>
    </rPh>
    <rPh sb="12" eb="13">
      <t>シキ</t>
    </rPh>
    <rPh sb="14" eb="15">
      <t>ガタ</t>
    </rPh>
    <rPh sb="41" eb="43">
      <t>モクメ</t>
    </rPh>
    <phoneticPr fontId="3"/>
  </si>
  <si>
    <t>ﾌﾘｰRﾚｰﾙ 埋め込み式ｇ型ｽﾀﾝﾄﾞ 040-2941 ﾀﾞｰｸﾌﾞﾛﾝｽﾞ+木目ﾅﾁｭﾗﾙ</t>
    <rPh sb="8" eb="9">
      <t>ウ</t>
    </rPh>
    <rPh sb="10" eb="11">
      <t>コ</t>
    </rPh>
    <rPh sb="12" eb="13">
      <t>シキ</t>
    </rPh>
    <rPh sb="14" eb="15">
      <t>ガタ</t>
    </rPh>
    <rPh sb="41" eb="43">
      <t>モクメ</t>
    </rPh>
    <phoneticPr fontId="3"/>
  </si>
  <si>
    <t>ﾌﾘｰRﾚｰﾙ 埋め込み式ｇ型ｽﾀﾝﾄﾞ 040-2942 ﾀﾞｰｸﾌﾞﾛﾝｽﾞ+ﾁｮｺﾚｰﾄ</t>
    <rPh sb="8" eb="9">
      <t>ウ</t>
    </rPh>
    <rPh sb="10" eb="11">
      <t>コ</t>
    </rPh>
    <rPh sb="12" eb="13">
      <t>シキ</t>
    </rPh>
    <rPh sb="14" eb="15">
      <t>ガタ</t>
    </rPh>
    <phoneticPr fontId="3"/>
  </si>
  <si>
    <t>BJ-61WD</t>
    <phoneticPr fontId="3"/>
  </si>
  <si>
    <t>BJ-62WN</t>
    <phoneticPr fontId="3"/>
  </si>
  <si>
    <t>BJ-63PC</t>
    <phoneticPr fontId="3"/>
  </si>
  <si>
    <t>BJ-119WD</t>
    <phoneticPr fontId="3"/>
  </si>
  <si>
    <t>BJ-120WN</t>
    <phoneticPr fontId="3"/>
  </si>
  <si>
    <t>BJ-121PC</t>
    <phoneticPr fontId="3"/>
  </si>
  <si>
    <t>ﾌﾘｰRﾚｰﾙ I型ハンド 040-2862 木目ﾀﾞｰｸ+ｽﾃﾝｶﾗｰ</t>
    <rPh sb="9" eb="10">
      <t>ガタ</t>
    </rPh>
    <rPh sb="23" eb="25">
      <t>モクメ</t>
    </rPh>
    <phoneticPr fontId="3"/>
  </si>
  <si>
    <t>ﾌﾘｰRﾚｰﾙ I型ハンド 040-2863 木目ﾅﾁｭﾗﾙ+ｽﾃﾝｶﾗｰ</t>
    <rPh sb="9" eb="10">
      <t>ガタ</t>
    </rPh>
    <rPh sb="23" eb="25">
      <t>モクメ</t>
    </rPh>
    <phoneticPr fontId="3"/>
  </si>
  <si>
    <t>ﾌﾘｰRﾚｰﾙ I型ハンド 040-2864 ﾁｮｺﾚｰﾄ+ｽﾃﾝｶﾗｰ</t>
    <rPh sb="9" eb="10">
      <t>ガタ</t>
    </rPh>
    <phoneticPr fontId="3"/>
  </si>
  <si>
    <t>ﾌﾘｰRﾚｰﾙ I型ハンド 040-2919 木目ﾀﾞｰｸ+ﾀﾞｰｸﾌﾞﾛﾝｽﾞ</t>
    <rPh sb="9" eb="10">
      <t>ガタ</t>
    </rPh>
    <rPh sb="23" eb="25">
      <t>モクメ</t>
    </rPh>
    <phoneticPr fontId="3"/>
  </si>
  <si>
    <t>ﾌﾘｰRﾚｰﾙ I型ハンド 040-2920 木目ﾅﾁｭﾗﾙ+ﾀﾞｰｸﾌﾞﾛﾝｽﾞ</t>
    <rPh sb="9" eb="10">
      <t>ガタ</t>
    </rPh>
    <rPh sb="23" eb="25">
      <t>モクメ</t>
    </rPh>
    <phoneticPr fontId="3"/>
  </si>
  <si>
    <t>ﾌﾘｰRﾚｰﾙ I型ハンド 040-2921 ﾁｮｺﾚｰﾄ+ﾀﾞｰｸﾌﾞﾛﾝｽﾞ</t>
    <rPh sb="9" eb="10">
      <t>ガタ</t>
    </rPh>
    <phoneticPr fontId="3"/>
  </si>
  <si>
    <t>屋外階段</t>
    <rPh sb="0" eb="4">
      <t>オクガイカイダン</t>
    </rPh>
    <phoneticPr fontId="3"/>
  </si>
  <si>
    <t>定価\3,900</t>
    <rPh sb="0" eb="3">
      <t>テイカ¥</t>
    </rPh>
    <phoneticPr fontId="3"/>
  </si>
  <si>
    <t>定価\1,250</t>
    <rPh sb="0" eb="3">
      <t>テイカ¥</t>
    </rPh>
    <phoneticPr fontId="3"/>
  </si>
  <si>
    <t>定価\1,250</t>
    <phoneticPr fontId="3"/>
  </si>
  <si>
    <t>定価\2,100</t>
    <rPh sb="0" eb="3">
      <t>テイカ¥</t>
    </rPh>
    <phoneticPr fontId="3"/>
  </si>
  <si>
    <t>定価\2,100</t>
    <phoneticPr fontId="3"/>
  </si>
  <si>
    <t>定価\2,300</t>
    <rPh sb="0" eb="3">
      <t>テイカ¥</t>
    </rPh>
    <phoneticPr fontId="3"/>
  </si>
  <si>
    <t>定価\2,300</t>
    <phoneticPr fontId="3"/>
  </si>
  <si>
    <t>定価\2,800</t>
    <rPh sb="0" eb="3">
      <t>テイカ¥</t>
    </rPh>
    <phoneticPr fontId="3"/>
  </si>
  <si>
    <t>定価\1,850</t>
    <rPh sb="0" eb="3">
      <t>テイカ¥</t>
    </rPh>
    <phoneticPr fontId="3"/>
  </si>
  <si>
    <t>定価\2,000</t>
    <rPh sb="0" eb="3">
      <t>テイカ¥</t>
    </rPh>
    <phoneticPr fontId="3"/>
  </si>
  <si>
    <t>定価\1,900</t>
    <rPh sb="0" eb="3">
      <t>テイカ¥</t>
    </rPh>
    <phoneticPr fontId="3"/>
  </si>
  <si>
    <t>定価\1,350</t>
    <rPh sb="0" eb="3">
      <t>テイカ¥</t>
    </rPh>
    <phoneticPr fontId="3"/>
  </si>
  <si>
    <t>定価\6,550/m</t>
    <rPh sb="0" eb="3">
      <t>テイカ¥</t>
    </rPh>
    <phoneticPr fontId="3"/>
  </si>
  <si>
    <t>定価\6,025/m</t>
    <rPh sb="0" eb="3">
      <t>テイカ¥</t>
    </rPh>
    <phoneticPr fontId="3"/>
  </si>
  <si>
    <t>定価\6,900</t>
    <rPh sb="0" eb="3">
      <t>テイカ¥</t>
    </rPh>
    <phoneticPr fontId="3"/>
  </si>
  <si>
    <t>定価\6,900</t>
    <rPh sb="0" eb="2">
      <t>テイカ</t>
    </rPh>
    <phoneticPr fontId="3"/>
  </si>
  <si>
    <t>定価\3,750</t>
    <rPh sb="0" eb="3">
      <t>テイカ¥</t>
    </rPh>
    <phoneticPr fontId="3"/>
  </si>
  <si>
    <t>定価\12,800</t>
    <rPh sb="0" eb="3">
      <t>テイカ¥</t>
    </rPh>
    <phoneticPr fontId="3"/>
  </si>
  <si>
    <t>定価\7,000</t>
    <rPh sb="0" eb="3">
      <t>テイカ¥</t>
    </rPh>
    <phoneticPr fontId="3"/>
  </si>
  <si>
    <t>定価\20,000</t>
    <rPh sb="0" eb="3">
      <t>テイカ¥</t>
    </rPh>
    <phoneticPr fontId="3"/>
  </si>
  <si>
    <t>定価\10,700</t>
    <rPh sb="0" eb="3">
      <t>テイカ¥</t>
    </rPh>
    <phoneticPr fontId="3"/>
  </si>
  <si>
    <t>定価\1,200</t>
    <rPh sb="0" eb="3">
      <t>テイカ¥</t>
    </rPh>
    <phoneticPr fontId="3"/>
  </si>
  <si>
    <t>定価\45,700</t>
    <rPh sb="0" eb="3">
      <t>テイカ¥</t>
    </rPh>
    <phoneticPr fontId="3"/>
  </si>
  <si>
    <t>定価\11,400</t>
    <rPh sb="0" eb="3">
      <t>テイカ¥</t>
    </rPh>
    <phoneticPr fontId="3"/>
  </si>
  <si>
    <t>定価\750</t>
    <rPh sb="0" eb="3">
      <t>テイカ¥</t>
    </rPh>
    <phoneticPr fontId="3"/>
  </si>
  <si>
    <t>定価\900</t>
    <rPh sb="0" eb="3">
      <t>テイカ¥</t>
    </rPh>
    <phoneticPr fontId="3"/>
  </si>
  <si>
    <t>定価\400</t>
    <rPh sb="0" eb="3">
      <t>テイカ¥</t>
    </rPh>
    <phoneticPr fontId="3"/>
  </si>
  <si>
    <t>ﾌﾘ-Rﾚ-ﾙ E埋込式支柱 040-2841 ｽﾃﾝｶﾗｰ</t>
    <phoneticPr fontId="3"/>
  </si>
  <si>
    <t>定価\8,900</t>
    <rPh sb="0" eb="3">
      <t>テイカ¥</t>
    </rPh>
    <phoneticPr fontId="3"/>
  </si>
  <si>
    <t>定価\9,800</t>
    <rPh sb="0" eb="3">
      <t>テイカ¥</t>
    </rPh>
    <phoneticPr fontId="3"/>
  </si>
  <si>
    <t>定価\5,018/m</t>
    <rPh sb="0" eb="3">
      <t>テイカ¥</t>
    </rPh>
    <phoneticPr fontId="3"/>
  </si>
  <si>
    <t>定価\5,185/m</t>
    <rPh sb="0" eb="3">
      <t>テイカ¥</t>
    </rPh>
    <phoneticPr fontId="3"/>
  </si>
  <si>
    <t>定価\4,750</t>
    <rPh sb="0" eb="3">
      <t>テイカ¥</t>
    </rPh>
    <phoneticPr fontId="3"/>
  </si>
  <si>
    <t>定価\7,740</t>
    <rPh sb="0" eb="3">
      <t>テイカ¥</t>
    </rPh>
    <phoneticPr fontId="3"/>
  </si>
  <si>
    <t>定価\1,150</t>
    <rPh sb="0" eb="3">
      <t>テイカ¥</t>
    </rPh>
    <phoneticPr fontId="3"/>
  </si>
  <si>
    <t>定価\4,230</t>
    <rPh sb="0" eb="3">
      <t>テイカ¥</t>
    </rPh>
    <phoneticPr fontId="3"/>
  </si>
  <si>
    <t>定価\3,190</t>
    <rPh sb="0" eb="3">
      <t>テイカ¥</t>
    </rPh>
    <phoneticPr fontId="3"/>
  </si>
  <si>
    <t>BD-60G</t>
    <phoneticPr fontId="3"/>
  </si>
  <si>
    <t>BD-60B</t>
    <phoneticPr fontId="3"/>
  </si>
  <si>
    <t>BD-60S</t>
    <phoneticPr fontId="3"/>
  </si>
  <si>
    <t>35φ 自在ブラケット 040-5070 ﾌﾞﾗｳﾝ</t>
    <rPh sb="4" eb="6">
      <t>ジザイ</t>
    </rPh>
    <phoneticPr fontId="3"/>
  </si>
  <si>
    <t>定価\6,300</t>
    <rPh sb="0" eb="3">
      <t>テイカ¥</t>
    </rPh>
    <phoneticPr fontId="3"/>
  </si>
  <si>
    <t>35φ 自在ブラケット 040-5071 ｺﾞｰﾙﾄﾞ</t>
    <rPh sb="4" eb="6">
      <t>ジザイ</t>
    </rPh>
    <phoneticPr fontId="3"/>
  </si>
  <si>
    <t>35φ 自在ブラケット 040-5072 ｼﾙﾊﾞｰ</t>
    <rPh sb="4" eb="6">
      <t>ジザイ</t>
    </rPh>
    <phoneticPr fontId="3"/>
  </si>
  <si>
    <t>BD-41B</t>
    <phoneticPr fontId="3"/>
  </si>
  <si>
    <t>BD-41G</t>
    <phoneticPr fontId="3"/>
  </si>
  <si>
    <t>BD-41S</t>
    <phoneticPr fontId="3"/>
  </si>
  <si>
    <t>BD-36B</t>
    <phoneticPr fontId="3"/>
  </si>
  <si>
    <t>BD-36G</t>
    <phoneticPr fontId="3"/>
  </si>
  <si>
    <t>BD-36S</t>
    <phoneticPr fontId="3"/>
  </si>
  <si>
    <t>35φ出幅調整ﾌﾞﾗｹｯﾄ 040-1156 ﾌﾞﾗｳﾝ</t>
    <rPh sb="3" eb="7">
      <t>デハバチョウセイ</t>
    </rPh>
    <phoneticPr fontId="3"/>
  </si>
  <si>
    <t>35φ出幅調整ﾌﾞﾗｹｯﾄ 040-1157 ｺﾞｰﾙﾄﾞ</t>
    <rPh sb="3" eb="7">
      <t>デハバチョウセイ</t>
    </rPh>
    <phoneticPr fontId="3"/>
  </si>
  <si>
    <t>35φ出幅調整ﾌﾞﾗｹｯﾄ 040-1158 ｼﾙﾊﾞｰ</t>
    <rPh sb="3" eb="7">
      <t>デハバチョウセイ</t>
    </rPh>
    <phoneticPr fontId="3"/>
  </si>
  <si>
    <t>35φ N自在ｼﾞｮｲﾝﾄ 040-1190 ﾌﾞﾗｳﾝ</t>
    <rPh sb="5" eb="7">
      <t>ジザイ</t>
    </rPh>
    <phoneticPr fontId="3"/>
  </si>
  <si>
    <t>定価\4,600</t>
    <rPh sb="0" eb="3">
      <t>テイカ¥</t>
    </rPh>
    <phoneticPr fontId="3"/>
  </si>
  <si>
    <t>35φ N自在ｼﾞｮｲﾝﾄ 040-1191 ｺﾞｰﾙﾄﾞ</t>
    <rPh sb="5" eb="7">
      <t>ジザイ</t>
    </rPh>
    <phoneticPr fontId="3"/>
  </si>
  <si>
    <t>35φ N自在ｼﾞｮｲﾝﾄ 040-1192 ｼﾙﾊﾞｰ</t>
    <rPh sb="5" eb="7">
      <t>ジザイ</t>
    </rPh>
    <phoneticPr fontId="3"/>
  </si>
  <si>
    <t>BD-08G</t>
    <phoneticPr fontId="3"/>
  </si>
  <si>
    <t>BD-13G</t>
    <phoneticPr fontId="3"/>
  </si>
  <si>
    <t>定価\4,400/m</t>
    <rPh sb="0" eb="2">
      <t>テイカ</t>
    </rPh>
    <phoneticPr fontId="3"/>
  </si>
  <si>
    <t>定価\4,550/m</t>
    <rPh sb="0" eb="2">
      <t>テイカ</t>
    </rPh>
    <phoneticPr fontId="3"/>
  </si>
  <si>
    <t>BJ-159ST</t>
    <phoneticPr fontId="3"/>
  </si>
  <si>
    <t>BJ-160DB</t>
    <phoneticPr fontId="3"/>
  </si>
  <si>
    <t>ﾌﾘ-Rﾚ-ﾙ E埋め込み式ｴﾝﾄﾞ支柱ﾛﾝｸﾞﾀｲﾌﾟ 040-2959 ｽﾃﾝｶﾗｰ</t>
    <phoneticPr fontId="3"/>
  </si>
  <si>
    <t>ﾌﾘ-Rﾚ-ﾙ E埋め込み式ｴﾝﾄﾞ支柱ﾛﾝｸﾞﾀｲﾌﾟ 040-2960 ﾀﾞｰｸﾌﾞﾛﾝｽﾞ</t>
    <phoneticPr fontId="3"/>
  </si>
  <si>
    <t>定価\16,200</t>
    <rPh sb="0" eb="3">
      <t>テイカ¥</t>
    </rPh>
    <phoneticPr fontId="3"/>
  </si>
  <si>
    <t>BDE-08B</t>
    <phoneticPr fontId="3"/>
  </si>
  <si>
    <t>BDE-08G</t>
    <phoneticPr fontId="3"/>
  </si>
  <si>
    <t>BDE-08S</t>
    <phoneticPr fontId="3"/>
  </si>
  <si>
    <t>BDE-09B</t>
    <phoneticPr fontId="3"/>
  </si>
  <si>
    <t>BDE-09G</t>
    <phoneticPr fontId="3"/>
  </si>
  <si>
    <t>BDE-09S</t>
    <phoneticPr fontId="3"/>
  </si>
  <si>
    <t>BDE-12B</t>
    <phoneticPr fontId="3"/>
  </si>
  <si>
    <t>BDE-12G</t>
    <phoneticPr fontId="3"/>
  </si>
  <si>
    <t>BDE-12S</t>
    <phoneticPr fontId="3"/>
  </si>
  <si>
    <t>BDE-13B</t>
    <phoneticPr fontId="3"/>
  </si>
  <si>
    <t>BDE-13G</t>
    <phoneticPr fontId="3"/>
  </si>
  <si>
    <t>BDE-13S</t>
    <phoneticPr fontId="3"/>
  </si>
  <si>
    <t>35φ 出隅ｺｰﾅｰﾌﾞﾗｹｯﾄN 040-1268 ﾌﾞﾛﾝｽﾞ</t>
    <rPh sb="4" eb="6">
      <t>デスミ</t>
    </rPh>
    <phoneticPr fontId="3"/>
  </si>
  <si>
    <t>35φ 出隅ｺｰﾅｰﾌﾞﾗｹｯﾄN 040-1269 ｺﾞｰﾙﾄﾞ</t>
    <rPh sb="4" eb="6">
      <t>デスミ</t>
    </rPh>
    <phoneticPr fontId="3"/>
  </si>
  <si>
    <t>35φ 出隅ｺｰﾅｰﾌﾞﾗｹｯﾄN 040-1270 ｼﾙﾊﾞｰ</t>
    <rPh sb="4" eb="6">
      <t>デスミ</t>
    </rPh>
    <phoneticPr fontId="3"/>
  </si>
  <si>
    <t>定価\6,500</t>
    <rPh sb="0" eb="3">
      <t>テイカ¥</t>
    </rPh>
    <phoneticPr fontId="3"/>
  </si>
  <si>
    <t>35φ 入隅ｺｰﾅｰﾌﾞﾗｹｯﾄN 040-1274 ﾌﾞﾛﾝｽﾞ</t>
    <rPh sb="4" eb="6">
      <t>イリスミ</t>
    </rPh>
    <phoneticPr fontId="3"/>
  </si>
  <si>
    <t>35φ 入隅ｺｰﾅｰﾌﾞﾗｹｯﾄN 040-1275 ｺﾞｰﾙﾄﾞ</t>
    <rPh sb="4" eb="6">
      <t>イリスミ</t>
    </rPh>
    <phoneticPr fontId="3"/>
  </si>
  <si>
    <t>35φ 入隅ｺｰﾅｰﾌﾞﾗｹｯﾄN 040-1276 ｼﾙﾊﾞｰ</t>
    <rPh sb="4" eb="6">
      <t>イリスミ</t>
    </rPh>
    <phoneticPr fontId="3"/>
  </si>
  <si>
    <t>定価\7,300</t>
    <rPh sb="0" eb="3">
      <t>テイカ¥</t>
    </rPh>
    <phoneticPr fontId="3"/>
  </si>
  <si>
    <t>35φ 出隅自在ﾌﾞﾗｹｯﾄK 040-5510 ﾌﾞﾛﾝｽﾞ</t>
    <rPh sb="4" eb="6">
      <t>デスミ</t>
    </rPh>
    <rPh sb="6" eb="8">
      <t>ジザイ</t>
    </rPh>
    <phoneticPr fontId="3"/>
  </si>
  <si>
    <t>35φ 出隅自在ﾌﾞﾗｹｯﾄK 040-5511 ｺﾞｰﾙﾄﾞ</t>
    <rPh sb="4" eb="6">
      <t>デスミ</t>
    </rPh>
    <rPh sb="6" eb="8">
      <t>ジザイ</t>
    </rPh>
    <phoneticPr fontId="3"/>
  </si>
  <si>
    <t>35φ 出隅自在ﾌﾞﾗｹｯﾄK 040-5512 ｼﾙﾊﾞｰ</t>
    <rPh sb="4" eb="6">
      <t>デスミ</t>
    </rPh>
    <rPh sb="6" eb="8">
      <t>ジザイ</t>
    </rPh>
    <phoneticPr fontId="3"/>
  </si>
  <si>
    <t>定価\7,400</t>
    <rPh sb="0" eb="3">
      <t>テイカ¥</t>
    </rPh>
    <phoneticPr fontId="3"/>
  </si>
  <si>
    <t>35φ 入隅自在ﾌﾞﾗｹｯﾄK 040-5515 ﾌﾞﾛﾝｽﾞ</t>
    <rPh sb="4" eb="6">
      <t>イリスミ</t>
    </rPh>
    <rPh sb="6" eb="8">
      <t>ジザイ</t>
    </rPh>
    <phoneticPr fontId="3"/>
  </si>
  <si>
    <t>定価\8,000</t>
    <rPh sb="0" eb="3">
      <t>テイカ¥</t>
    </rPh>
    <phoneticPr fontId="3"/>
  </si>
  <si>
    <t>35φ 入隅自在ﾌﾞﾗｹｯﾄK 040-5516 ｺﾞｰﾙﾄﾞ</t>
    <rPh sb="4" eb="6">
      <t>イリスミ</t>
    </rPh>
    <rPh sb="6" eb="8">
      <t>ジザイ</t>
    </rPh>
    <phoneticPr fontId="3"/>
  </si>
  <si>
    <t>35φ 入隅自在ﾌﾞﾗｹｯﾄK 040-5517 ｼﾙﾊﾞｰ</t>
    <rPh sb="4" eb="6">
      <t>イリスミ</t>
    </rPh>
    <rPh sb="6" eb="8">
      <t>ジザイ</t>
    </rPh>
    <phoneticPr fontId="3"/>
  </si>
  <si>
    <t>BD-48B</t>
    <phoneticPr fontId="3"/>
  </si>
  <si>
    <t>35φ 縦枠用ｽﾘﾑﾌﾞﾗｹｯﾄ 040-5010 ﾌﾞﾛﾝｽﾞ</t>
    <rPh sb="4" eb="7">
      <t>タテワクヨウ</t>
    </rPh>
    <phoneticPr fontId="3"/>
  </si>
  <si>
    <t>定価\2,200</t>
    <rPh sb="0" eb="3">
      <t>テイカ¥</t>
    </rPh>
    <phoneticPr fontId="3"/>
  </si>
  <si>
    <t>BD-48G</t>
    <phoneticPr fontId="3"/>
  </si>
  <si>
    <t>35φ 縦枠用ｽﾘﾑﾌﾞﾗｹｯﾄ 040-5011 ｺﾞｰﾙﾄﾞ</t>
    <rPh sb="4" eb="7">
      <t>タテワクヨウ</t>
    </rPh>
    <phoneticPr fontId="3"/>
  </si>
  <si>
    <t>BD-48S</t>
    <phoneticPr fontId="3"/>
  </si>
  <si>
    <t>35φ 縦枠用ｽﾘﾑﾌﾞﾗｹｯﾄ 040-5012 ｼﾙﾊﾞｰ</t>
    <rPh sb="4" eb="7">
      <t>タテワクヨウ</t>
    </rPh>
    <phoneticPr fontId="3"/>
  </si>
  <si>
    <t>ECA-5037 SGD</t>
    <phoneticPr fontId="3"/>
  </si>
  <si>
    <t>ECA-5037 MGR</t>
    <phoneticPr fontId="3"/>
  </si>
  <si>
    <t>ECA-5037 MLB</t>
    <phoneticPr fontId="3"/>
  </si>
  <si>
    <t>3４φ 自在ｴﾝﾄﾞﾍﾞｰｽ /ｼｬﾝﾊﾟﾝｺﾞｰﾙﾄﾞ/MGR</t>
    <rPh sb="4" eb="6">
      <t>ジザイ</t>
    </rPh>
    <phoneticPr fontId="3"/>
  </si>
  <si>
    <t>34φ 自在ｴﾝﾄﾞﾍﾞｰｽ/ﾒﾀﾘｯｸｸﾞﾚｰ/MGR</t>
    <rPh sb="4" eb="6">
      <t>ジザイ</t>
    </rPh>
    <phoneticPr fontId="3"/>
  </si>
  <si>
    <t>34φ 自在ｴﾝﾄﾞﾍﾞｰｽ/ﾒﾀﾘｯｸﾗｲﾄﾌﾞﾗｳﾝ/MLB</t>
    <rPh sb="4" eb="6">
      <t>ジザイ</t>
    </rPh>
    <phoneticPr fontId="3"/>
  </si>
  <si>
    <t>定価\3,870</t>
    <rPh sb="0" eb="3">
      <t>テイカ¥</t>
    </rPh>
    <phoneticPr fontId="3"/>
  </si>
  <si>
    <t>EC-5047 SGD</t>
  </si>
  <si>
    <t>EC-5047 MGR</t>
  </si>
  <si>
    <t>EC-5047 MLB</t>
  </si>
  <si>
    <t>34φ ｴﾙﾎﾞｷｬｯﾌﾟA /ｼｬﾝﾊﾟﾝｺﾞｰﾙﾄﾞ/SGD</t>
    <phoneticPr fontId="3"/>
  </si>
  <si>
    <t>34φ つなぎ支柱ｼﾞｮｲﾝﾄ/ｼｬﾝﾊﾟﾝｺﾞｰﾙﾄﾞ</t>
    <rPh sb="7" eb="9">
      <t>シチュウ</t>
    </rPh>
    <phoneticPr fontId="3"/>
  </si>
  <si>
    <t>34φ つなぎ支柱ｼﾞｮｲﾝﾄ/ﾒﾀﾘｯｸｸﾞﾚｰ</t>
    <rPh sb="7" eb="9">
      <t>シチュウ</t>
    </rPh>
    <phoneticPr fontId="3"/>
  </si>
  <si>
    <t>34φ つなぎ支柱ｼﾞｮｲﾝﾄ/ﾒﾀﾘｯｸﾌﾞﾗｳﾝ</t>
    <rPh sb="7" eb="9">
      <t>シチュウ</t>
    </rPh>
    <phoneticPr fontId="3"/>
  </si>
  <si>
    <t>定価\7,720</t>
    <rPh sb="0" eb="3">
      <t>テイカ¥</t>
    </rPh>
    <phoneticPr fontId="3"/>
  </si>
  <si>
    <t>BD-57G</t>
    <phoneticPr fontId="3"/>
  </si>
  <si>
    <t>35φ 入隅用首振ｽﾘﾑｴﾝﾄﾞﾌﾞﾗｹｯﾄ 040-5056 ｺﾞｰﾙﾄﾞ</t>
    <rPh sb="4" eb="7">
      <t>イリスミヨウ</t>
    </rPh>
    <rPh sb="7" eb="9">
      <t>クビフ</t>
    </rPh>
    <phoneticPr fontId="3"/>
  </si>
  <si>
    <t>定価\3,400</t>
    <rPh sb="0" eb="3">
      <t>テイカ¥</t>
    </rPh>
    <phoneticPr fontId="3"/>
  </si>
  <si>
    <t>BJ-145WD</t>
    <phoneticPr fontId="3"/>
  </si>
  <si>
    <t>ﾌﾘｰRﾚｰﾙ RAエンドキャップ（2コ）　木目ﾀﾞｰｸ</t>
    <rPh sb="22" eb="24">
      <t>モクメ</t>
    </rPh>
    <phoneticPr fontId="3"/>
  </si>
  <si>
    <t>定価\5,200</t>
    <rPh sb="0" eb="3">
      <t>テイカ¥</t>
    </rPh>
    <phoneticPr fontId="3"/>
  </si>
  <si>
    <t>BJ-146WN</t>
    <phoneticPr fontId="3"/>
  </si>
  <si>
    <t>ﾌﾘｰRﾚｰﾙ RAエンドキャップ（2コ）　木目ﾅﾁｭﾗﾙ</t>
    <rPh sb="22" eb="24">
      <t>モクメ</t>
    </rPh>
    <phoneticPr fontId="3"/>
  </si>
  <si>
    <t>BJ-147PC</t>
    <phoneticPr fontId="3"/>
  </si>
  <si>
    <t>ﾌﾘｰRﾚｰﾙ RAエンドキャップ（2コ）　ﾁｮｺﾚｰﾄ</t>
    <phoneticPr fontId="3"/>
  </si>
  <si>
    <t>BJ-87DB</t>
    <phoneticPr fontId="3"/>
  </si>
  <si>
    <t>ﾌﾘｰRﾚｰﾙ ﾌﾘｰｼﾞｮｲﾝﾄ 040-2887 ﾀﾞｰｸﾌﾞﾛﾝｽﾞ</t>
    <phoneticPr fontId="3"/>
  </si>
  <si>
    <t>BJ-29ST</t>
    <phoneticPr fontId="3"/>
  </si>
  <si>
    <t>ﾌﾘｰRﾚｰﾙ ﾌﾘｰｼﾞｮｲﾝﾄ 040-2829 ｽﾃﾝｶﾗｰ</t>
    <phoneticPr fontId="3"/>
  </si>
  <si>
    <t>BD-65G</t>
    <phoneticPr fontId="3"/>
  </si>
  <si>
    <t>35φ 入隅用縦型ﾌﾞﾗｹｯﾄ 040-5101 ｺﾞｰﾙﾄﾞ</t>
    <rPh sb="4" eb="7">
      <t>イリスミヨウ</t>
    </rPh>
    <rPh sb="7" eb="9">
      <t>タテガタ</t>
    </rPh>
    <phoneticPr fontId="3"/>
  </si>
  <si>
    <t>BD-65B</t>
    <phoneticPr fontId="3"/>
  </si>
  <si>
    <t>BD-65S</t>
    <phoneticPr fontId="3"/>
  </si>
  <si>
    <t>35φ 入隅用縦型ﾌﾞﾗｹｯﾄ 040-5100 ﾌﾞﾗｳﾝ</t>
    <rPh sb="4" eb="7">
      <t>イリスミヨウ</t>
    </rPh>
    <rPh sb="7" eb="9">
      <t>タテガタ</t>
    </rPh>
    <phoneticPr fontId="3"/>
  </si>
  <si>
    <t>35φ 入隅用縦型ﾌﾞﾗｹｯﾄ 040-5102 ｼﾙﾊﾞｰ</t>
    <rPh sb="4" eb="7">
      <t>イリスミヨウ</t>
    </rPh>
    <rPh sb="7" eb="9">
      <t>タテガタ</t>
    </rPh>
    <phoneticPr fontId="3"/>
  </si>
  <si>
    <t>BJ-125ST</t>
    <phoneticPr fontId="3"/>
  </si>
  <si>
    <t>BJ-126DB</t>
    <phoneticPr fontId="3"/>
  </si>
  <si>
    <t>定価\1,600</t>
    <rPh sb="0" eb="3">
      <t>テイカ¥</t>
    </rPh>
    <phoneticPr fontId="3"/>
  </si>
  <si>
    <t>ﾌﾘ-Rﾚ-ﾙ 埋め込み式支柱用化粧ｶﾊﾞｰ 040-2926 ﾀﾞｰｸﾌﾞﾛﾝｽﾞ</t>
    <phoneticPr fontId="3"/>
  </si>
  <si>
    <t>ﾌﾘ-Rﾚ-ﾙ 埋め込み式支柱用化粧ｶﾊﾞｰ 040-2925 ｽﾃﾝｶﾗｰ</t>
    <phoneticPr fontId="3"/>
  </si>
  <si>
    <t>BD-02G</t>
    <phoneticPr fontId="3"/>
  </si>
  <si>
    <t>通しブラケット横型</t>
    <rPh sb="0" eb="1">
      <t>トオ</t>
    </rPh>
    <rPh sb="7" eb="9">
      <t>ヨコガタ</t>
    </rPh>
    <phoneticPr fontId="3"/>
  </si>
  <si>
    <t>定価\1,600</t>
    <rPh sb="0" eb="2">
      <t>テイカ</t>
    </rPh>
    <phoneticPr fontId="3"/>
  </si>
  <si>
    <t>BJ-52ST</t>
    <phoneticPr fontId="3"/>
  </si>
  <si>
    <t>ﾌﾘｰRﾚｰﾙ Eﾍﾞｰｽﾌﾟﾚｰﾄ式支柱 040-2852 ｽﾃﾝｶﾗｰ</t>
    <rPh sb="18" eb="19">
      <t>シキ</t>
    </rPh>
    <rPh sb="19" eb="21">
      <t>シチュウ</t>
    </rPh>
    <phoneticPr fontId="3"/>
  </si>
  <si>
    <t>定価\21,700</t>
    <rPh sb="0" eb="3">
      <t>テイカエン</t>
    </rPh>
    <phoneticPr fontId="3"/>
  </si>
  <si>
    <t>BJ-92DB</t>
    <phoneticPr fontId="3"/>
  </si>
  <si>
    <t>ﾌﾘｰRﾚｰﾙ Eﾍﾞｰｽﾌﾟﾚｰﾄ式支柱 040-2892 ﾀﾞｰｸﾌﾞﾛﾝｽﾞ</t>
    <rPh sb="18" eb="19">
      <t>シキ</t>
    </rPh>
    <rPh sb="19" eb="21">
      <t>シチュウ</t>
    </rPh>
    <phoneticPr fontId="3"/>
  </si>
  <si>
    <t>BH-07</t>
  </si>
  <si>
    <t>BH-08</t>
  </si>
  <si>
    <t>BH-05</t>
  </si>
  <si>
    <t>BH-06</t>
  </si>
  <si>
    <t>BH-18</t>
  </si>
  <si>
    <t>BH-19</t>
  </si>
  <si>
    <t>木製スペーサー 08用座6</t>
  </si>
  <si>
    <t>木製スペーサー 08用座9</t>
  </si>
  <si>
    <t>木製スペーサー 小判座6</t>
  </si>
  <si>
    <t>木製スペーサー 小判座9</t>
  </si>
  <si>
    <t>木製スペーサー コーナー用6</t>
  </si>
  <si>
    <t>木製スペーサー コーナー用9</t>
  </si>
  <si>
    <t>定価\750</t>
    <rPh sb="0" eb="3">
      <t>テイカエン</t>
    </rPh>
    <phoneticPr fontId="3"/>
  </si>
  <si>
    <t>定価\900</t>
    <rPh sb="0" eb="3">
      <t>テイカエン</t>
    </rPh>
    <phoneticPr fontId="3"/>
  </si>
  <si>
    <t>TS136GLY86</t>
    <phoneticPr fontId="3"/>
  </si>
  <si>
    <t>ｲﾝﾃﾘｱ･ﾊﾞｰFｼﾘｰｽﾞ(Lﾀｲﾌﾟｿﾌﾄﾒｯｼｭ)/#NW1ﾎﾜｲﾄ/L600×800</t>
    <phoneticPr fontId="3"/>
  </si>
  <si>
    <t>60W-30-1段</t>
    <rPh sb="8" eb="9">
      <t>ダン</t>
    </rPh>
    <phoneticPr fontId="3"/>
  </si>
  <si>
    <t>定価\27,500</t>
    <rPh sb="0" eb="3">
      <t>テイカエン</t>
    </rPh>
    <phoneticPr fontId="3"/>
  </si>
  <si>
    <t>BJ-224WD</t>
    <phoneticPr fontId="3"/>
  </si>
  <si>
    <t>定価\6,025/m</t>
    <rPh sb="0" eb="2">
      <t>テイカ</t>
    </rPh>
    <phoneticPr fontId="3"/>
  </si>
  <si>
    <t>定価\6,025/m</t>
    <phoneticPr fontId="3"/>
  </si>
  <si>
    <t>BJ-221WN</t>
    <phoneticPr fontId="3"/>
  </si>
  <si>
    <t>BJ-225PC</t>
    <phoneticPr fontId="3"/>
  </si>
  <si>
    <t>BJ-223WD</t>
    <phoneticPr fontId="3"/>
  </si>
  <si>
    <t>定価\6,550/m</t>
    <phoneticPr fontId="3"/>
  </si>
  <si>
    <t>BJ-222WN</t>
    <phoneticPr fontId="3"/>
  </si>
  <si>
    <t>BJ-226PC</t>
    <phoneticPr fontId="3"/>
  </si>
  <si>
    <t>SAP-I-600W</t>
    <phoneticPr fontId="3"/>
  </si>
  <si>
    <t>SAP-I-400W</t>
    <phoneticPr fontId="3"/>
  </si>
  <si>
    <t>SAP-I-500W</t>
    <phoneticPr fontId="3"/>
  </si>
  <si>
    <t>ソフトアクアレールプラスI型ハンド600㎜/ホワイト/040-7551</t>
    <rPh sb="12" eb="14">
      <t>アイガタ</t>
    </rPh>
    <phoneticPr fontId="3"/>
  </si>
  <si>
    <t>定価\17,200</t>
    <rPh sb="0" eb="2">
      <t>テイカ</t>
    </rPh>
    <phoneticPr fontId="3"/>
  </si>
  <si>
    <t>ソフトアクアレールプラスI型ハンド400㎜/ホワイト/040-7556</t>
    <phoneticPr fontId="3"/>
  </si>
  <si>
    <t>定価\15,900</t>
    <rPh sb="0" eb="2">
      <t>テイカ</t>
    </rPh>
    <phoneticPr fontId="3"/>
  </si>
  <si>
    <t>ソフトアクアレールプラスI型ハンド500㎜/ホワイト/040-7557</t>
    <phoneticPr fontId="3"/>
  </si>
  <si>
    <t>定価\16,400</t>
    <rPh sb="0" eb="2">
      <t>テイカ</t>
    </rPh>
    <phoneticPr fontId="3"/>
  </si>
  <si>
    <t>ソフトアクアレールプラスL型ハンド600㎜×400㎜/ホワイト/040-7558</t>
    <rPh sb="13" eb="14">
      <t>ガタ</t>
    </rPh>
    <phoneticPr fontId="3"/>
  </si>
  <si>
    <t>定価\27,800</t>
    <rPh sb="0" eb="2">
      <t>テイカ</t>
    </rPh>
    <phoneticPr fontId="3"/>
  </si>
  <si>
    <t>SAP-K-6060W</t>
    <phoneticPr fontId="3"/>
  </si>
  <si>
    <t>SAP-K-6040W</t>
    <phoneticPr fontId="3"/>
  </si>
  <si>
    <t>ソフトアクアレールプラスL型ハンド600㎜×600㎜/ホワイト/040-7554</t>
    <phoneticPr fontId="3"/>
  </si>
  <si>
    <t>定価\29,200</t>
    <rPh sb="0" eb="3">
      <t>テイカエン</t>
    </rPh>
    <phoneticPr fontId="3"/>
  </si>
  <si>
    <t>SAP-OP1</t>
    <phoneticPr fontId="3"/>
  </si>
  <si>
    <t>中空壁用ねじセット（ソフトアクアレールプラス用）</t>
    <rPh sb="0" eb="4">
      <t>チュウクウヘキヨウ</t>
    </rPh>
    <rPh sb="22" eb="23">
      <t>ヨウ</t>
    </rPh>
    <phoneticPr fontId="3"/>
  </si>
  <si>
    <t>定価\820/セット</t>
    <rPh sb="0" eb="2">
      <t>テイカ</t>
    </rPh>
    <phoneticPr fontId="3"/>
  </si>
  <si>
    <t>BJ-68ST</t>
    <phoneticPr fontId="3"/>
  </si>
  <si>
    <t>ﾌﾘ-Rﾚ-ﾙ 遮断機式埋め込み式支柱軸側  040-2868 ｽﾃﾝｶﾗｰ</t>
    <rPh sb="8" eb="12">
      <t>シャダンキシキ</t>
    </rPh>
    <rPh sb="12" eb="13">
      <t>ウ</t>
    </rPh>
    <rPh sb="14" eb="15">
      <t>コ</t>
    </rPh>
    <rPh sb="16" eb="17">
      <t>シキ</t>
    </rPh>
    <rPh sb="17" eb="19">
      <t>シチュウ</t>
    </rPh>
    <rPh sb="19" eb="21">
      <t>ジクガワ</t>
    </rPh>
    <phoneticPr fontId="3"/>
  </si>
  <si>
    <t>BJ-106DB</t>
    <phoneticPr fontId="3"/>
  </si>
  <si>
    <t>ﾌﾘ-Rﾚ-ﾙ 遮断機式埋め込み式支柱軸側  040-2906 ﾀﾞｰｸﾌﾞﾛﾝｽﾞ</t>
    <phoneticPr fontId="3"/>
  </si>
  <si>
    <t>定価\29,200</t>
    <rPh sb="0" eb="2">
      <t>テイカ</t>
    </rPh>
    <phoneticPr fontId="3"/>
  </si>
  <si>
    <t>BJ-71ST</t>
    <phoneticPr fontId="3"/>
  </si>
  <si>
    <t>ﾌﾘ-Rﾚ-ﾙ 遮断機式埋め込み式支柱受側  040-2871 ｽﾃﾝｶﾗｰ</t>
    <rPh sb="19" eb="21">
      <t>ウケガワ</t>
    </rPh>
    <phoneticPr fontId="3"/>
  </si>
  <si>
    <t>定価\26,800</t>
    <rPh sb="0" eb="3">
      <t>テイカエン</t>
    </rPh>
    <phoneticPr fontId="3"/>
  </si>
  <si>
    <t>BJ-109DB</t>
    <phoneticPr fontId="3"/>
  </si>
  <si>
    <t>ﾌﾘ-Rﾚ-ﾙ 遮断機式埋め込み式支柱受側  040-2909 ﾀﾞｰｸﾌﾞﾛﾝｽﾞ</t>
    <phoneticPr fontId="3"/>
  </si>
  <si>
    <t>定価\26,800</t>
    <phoneticPr fontId="3"/>
  </si>
  <si>
    <t>BJ-117ST</t>
    <phoneticPr fontId="3"/>
  </si>
  <si>
    <t>ﾌﾘ-Rﾚ-ﾙ 遮断機式用自在ジョイント 040-2917 ｽﾃﾝｶﾗｰ</t>
    <rPh sb="12" eb="13">
      <t>ヨウ</t>
    </rPh>
    <rPh sb="13" eb="15">
      <t>ジザイ</t>
    </rPh>
    <phoneticPr fontId="3"/>
  </si>
  <si>
    <t>BJ-118DB</t>
    <phoneticPr fontId="3"/>
  </si>
  <si>
    <t>ﾌﾘ-Rﾚ-ﾙ 遮断機式用自在ジョイント 040-2918 ﾀﾞｰｸﾌﾞﾛﾝｽﾞ</t>
    <rPh sb="12" eb="13">
      <t>ヨウ</t>
    </rPh>
    <rPh sb="13" eb="15">
      <t>ジザイ</t>
    </rPh>
    <phoneticPr fontId="3"/>
  </si>
  <si>
    <t>定価\6,500</t>
    <rPh sb="0" eb="2">
      <t>テイカ</t>
    </rPh>
    <phoneticPr fontId="3"/>
  </si>
  <si>
    <t>定価\6,500</t>
    <rPh sb="0" eb="3">
      <t>テイカエン</t>
    </rPh>
    <phoneticPr fontId="3"/>
  </si>
  <si>
    <t>ﾌﾘｰRﾚｰﾙ E埋め込み式ｺｰﾅ支柱 040-2903 ﾀﾞ-ｸﾌﾞﾛﾝｽﾞ</t>
    <phoneticPr fontId="3"/>
  </si>
  <si>
    <t>UA-400-10</t>
  </si>
  <si>
    <t>UA-600-10</t>
  </si>
  <si>
    <t>UA-440-10</t>
  </si>
  <si>
    <t>UA-460-10</t>
  </si>
  <si>
    <t>UA-660-10</t>
  </si>
  <si>
    <t>UM-400-10</t>
  </si>
  <si>
    <t>UM-600-10</t>
  </si>
  <si>
    <t>UM-440-10</t>
  </si>
  <si>
    <t>UM-460-10</t>
  </si>
  <si>
    <t>UM-660-10</t>
  </si>
  <si>
    <t>BE-122</t>
    <phoneticPr fontId="3"/>
  </si>
  <si>
    <t>定価\4,150/m</t>
    <rPh sb="0" eb="2">
      <t>テイカ</t>
    </rPh>
    <phoneticPr fontId="3"/>
  </si>
  <si>
    <t>BE-124</t>
    <phoneticPr fontId="3"/>
  </si>
  <si>
    <t>BE-132</t>
    <phoneticPr fontId="3"/>
  </si>
  <si>
    <t>BE-134</t>
    <phoneticPr fontId="3"/>
  </si>
  <si>
    <t>BE-112</t>
    <phoneticPr fontId="3"/>
  </si>
  <si>
    <t>BE-114</t>
    <phoneticPr fontId="3"/>
  </si>
  <si>
    <t>BE-08G</t>
    <phoneticPr fontId="3"/>
  </si>
  <si>
    <t>32φ ｴﾝﾄﾞﾌﾞﾗｹｯﾄｶﾊﾞ-付 040-1346 ｺﾞｰﾙﾄﾞ</t>
    <phoneticPr fontId="3"/>
  </si>
  <si>
    <t>BE-08B</t>
    <phoneticPr fontId="3"/>
  </si>
  <si>
    <t>32φ ｴﾝﾄﾞﾌﾞﾗｹｯﾄｶﾊﾞ-付 040-1345 ﾌﾞﾗｳﾝ</t>
    <phoneticPr fontId="3"/>
  </si>
  <si>
    <t>BE-08S</t>
    <phoneticPr fontId="3"/>
  </si>
  <si>
    <t>32φ ｴﾝﾄﾞﾌﾞﾗｹｯﾄｶﾊﾞ-付 040-1347 ｼﾙﾊﾞｰ</t>
    <phoneticPr fontId="3"/>
  </si>
  <si>
    <t>32φ ﾌﾞﾗｹｯﾄ横型ｶﾊﾞｰ付  040-1310 ﾌﾞﾗｳﾝ</t>
    <phoneticPr fontId="3"/>
  </si>
  <si>
    <t>32φ ﾌﾞﾗｹｯﾄ横型ｶﾊﾞｰ付  040-1311 ｺﾞｰﾙﾄﾞ</t>
    <phoneticPr fontId="3"/>
  </si>
  <si>
    <t>32φ ﾌﾞﾗｹｯﾄ横型ｶﾊﾞｰ付  040-1312 ｼﾙﾊﾞｰ</t>
    <phoneticPr fontId="3"/>
  </si>
  <si>
    <t>ﾌﾘｰRﾚｰﾙ E埋め込み式支柱 040-2889 ﾀﾞ-ｸﾌﾞﾛﾝｽﾞ</t>
    <phoneticPr fontId="3"/>
  </si>
  <si>
    <t>EL5060-1M-NS</t>
    <phoneticPr fontId="3"/>
  </si>
  <si>
    <t>ECLE　兼用取替バリアフリーレバー錠　空錠　アルミタイプ（Nシルバー）</t>
    <rPh sb="5" eb="7">
      <t>ケンヨウ</t>
    </rPh>
    <rPh sb="7" eb="9">
      <t>トリカエ</t>
    </rPh>
    <rPh sb="18" eb="19">
      <t>ジョウ</t>
    </rPh>
    <rPh sb="20" eb="21">
      <t>ソラ</t>
    </rPh>
    <rPh sb="21" eb="22">
      <t>ジョウ</t>
    </rPh>
    <phoneticPr fontId="3"/>
  </si>
  <si>
    <t>定価\5,900</t>
    <rPh sb="0" eb="2">
      <t>テイカ</t>
    </rPh>
    <phoneticPr fontId="3"/>
  </si>
  <si>
    <t>EL5060-1M-U</t>
    <phoneticPr fontId="3"/>
  </si>
  <si>
    <t>ECLE　兼用取替バリアフリーレバー錠　空錠　アルミタイプ（アンバー）</t>
    <phoneticPr fontId="3"/>
  </si>
  <si>
    <t>EL5060-4M-NS</t>
    <phoneticPr fontId="3"/>
  </si>
  <si>
    <t>ECLE　兼用取替バリアフリーレバー錠　トイレ錠　アルミタイプ（Nシルバー）</t>
    <rPh sb="23" eb="24">
      <t>ジョウ</t>
    </rPh>
    <phoneticPr fontId="3"/>
  </si>
  <si>
    <t>定価\7,900</t>
    <rPh sb="0" eb="2">
      <t>テイカ</t>
    </rPh>
    <phoneticPr fontId="3"/>
  </si>
  <si>
    <t>EL5060-4M-U</t>
    <phoneticPr fontId="3"/>
  </si>
  <si>
    <t>ECLE　兼用取替バリアフリーレバー錠　トイレ錠　アルミタイプ（アンバー）</t>
    <rPh sb="23" eb="24">
      <t>ジョウ</t>
    </rPh>
    <phoneticPr fontId="3"/>
  </si>
  <si>
    <t>定価\7,900</t>
    <rPh sb="0" eb="3">
      <t>テイカエン</t>
    </rPh>
    <phoneticPr fontId="3"/>
  </si>
  <si>
    <t>BJ-40ST</t>
    <phoneticPr fontId="3"/>
  </si>
  <si>
    <t>直受フレキシブルブラケット　ステンカラー</t>
    <rPh sb="0" eb="2">
      <t>チョクウケ</t>
    </rPh>
    <phoneticPr fontId="3"/>
  </si>
  <si>
    <t>定価\12,800</t>
    <rPh sb="0" eb="2">
      <t>テイカ</t>
    </rPh>
    <phoneticPr fontId="3"/>
  </si>
  <si>
    <t>BJ-88DB</t>
    <phoneticPr fontId="3"/>
  </si>
  <si>
    <t>直受フレキシブルブラケット　ダークブロンズ</t>
    <rPh sb="0" eb="2">
      <t>チョクウケ</t>
    </rPh>
    <phoneticPr fontId="3"/>
  </si>
  <si>
    <t>BJ-58ST</t>
    <phoneticPr fontId="3"/>
  </si>
  <si>
    <t>E直受フレキシブルブラケット　ステンカラー</t>
    <rPh sb="1" eb="3">
      <t>チョクウケ</t>
    </rPh>
    <phoneticPr fontId="3"/>
  </si>
  <si>
    <t>定価\11,900</t>
    <rPh sb="0" eb="2">
      <t>テイカ</t>
    </rPh>
    <phoneticPr fontId="3"/>
  </si>
  <si>
    <t>BJ-98DB</t>
    <phoneticPr fontId="3"/>
  </si>
  <si>
    <t>E直受フレキシブルブラケット　ダークブロンズ</t>
    <rPh sb="1" eb="3">
      <t>チョクウケ</t>
    </rPh>
    <phoneticPr fontId="3"/>
  </si>
  <si>
    <t xml:space="preserve">BE-01B </t>
    <phoneticPr fontId="3"/>
  </si>
  <si>
    <t>BE-01G</t>
    <phoneticPr fontId="3"/>
  </si>
  <si>
    <t>BE-01S</t>
    <phoneticPr fontId="3"/>
  </si>
  <si>
    <t>BD-47G</t>
    <phoneticPr fontId="3"/>
  </si>
  <si>
    <t>真壁用スリムエンドブラケットカバー付　ゴールド</t>
    <rPh sb="0" eb="3">
      <t>シンカベヨウ</t>
    </rPh>
    <rPh sb="17" eb="18">
      <t>ツ</t>
    </rPh>
    <phoneticPr fontId="3"/>
  </si>
  <si>
    <t>定価\2,200</t>
    <rPh sb="0" eb="2">
      <t>テイカ</t>
    </rPh>
    <phoneticPr fontId="3"/>
  </si>
  <si>
    <t>BD-47S</t>
    <phoneticPr fontId="3"/>
  </si>
  <si>
    <t>真壁用スリムエンドブラケットカバー付　シルバー</t>
    <rPh sb="0" eb="3">
      <t>シンカベヨウ</t>
    </rPh>
    <rPh sb="17" eb="18">
      <t>ツ</t>
    </rPh>
    <phoneticPr fontId="3"/>
  </si>
  <si>
    <t>BD-47B</t>
    <phoneticPr fontId="3"/>
  </si>
  <si>
    <t>真壁用スリムエンドブラケットカバー付　ブロンズ</t>
    <phoneticPr fontId="3"/>
  </si>
  <si>
    <t>BJ-115ST</t>
    <phoneticPr fontId="3"/>
  </si>
  <si>
    <t>RAアルミエンドキャップ　ステンカラー</t>
    <phoneticPr fontId="3"/>
  </si>
  <si>
    <t>定価\5,200</t>
    <rPh sb="0" eb="2">
      <t>テイカ</t>
    </rPh>
    <phoneticPr fontId="3"/>
  </si>
  <si>
    <t>BJ-116DB</t>
    <phoneticPr fontId="3"/>
  </si>
  <si>
    <t>RAアルミエンドキャップ　ダークブロンズ</t>
    <phoneticPr fontId="3"/>
  </si>
  <si>
    <t>TS136GLU66</t>
    <phoneticPr fontId="3"/>
  </si>
  <si>
    <t>BH-314</t>
    <phoneticPr fontId="3"/>
  </si>
  <si>
    <t>BH-312</t>
    <phoneticPr fontId="3"/>
  </si>
  <si>
    <t>FRF-900A</t>
    <phoneticPr fontId="3"/>
  </si>
  <si>
    <t>滑りにくい ﾌﾗｯﾄﾚ-ﾙ　150㎜幅　フラット</t>
    <rPh sb="18" eb="19">
      <t>ハバ</t>
    </rPh>
    <phoneticPr fontId="3"/>
  </si>
  <si>
    <t>定価\11,200</t>
    <rPh sb="0" eb="2">
      <t>テイカ</t>
    </rPh>
    <phoneticPr fontId="3"/>
  </si>
  <si>
    <t>EWT14BE35#AG</t>
    <phoneticPr fontId="3"/>
  </si>
  <si>
    <t>入隅エンドブラケット　#AGゴールド</t>
    <rPh sb="0" eb="1">
      <t>イ</t>
    </rPh>
    <rPh sb="1" eb="2">
      <t>スミ</t>
    </rPh>
    <phoneticPr fontId="3"/>
  </si>
  <si>
    <t>EWT14BE35#WS</t>
    <phoneticPr fontId="3"/>
  </si>
  <si>
    <t>入隅エンドブラケット　#WSウォームシルバー</t>
    <rPh sb="0" eb="1">
      <t>イ</t>
    </rPh>
    <rPh sb="1" eb="2">
      <t>スミ</t>
    </rPh>
    <phoneticPr fontId="3"/>
  </si>
  <si>
    <t>EWT14BE35#BZ</t>
    <phoneticPr fontId="3"/>
  </si>
  <si>
    <t>入隅エンドブラケット　#BZブロンズ</t>
    <rPh sb="0" eb="1">
      <t>イ</t>
    </rPh>
    <rPh sb="1" eb="2">
      <t>スミ</t>
    </rPh>
    <phoneticPr fontId="3"/>
  </si>
  <si>
    <t>BJ-127ST</t>
    <phoneticPr fontId="3"/>
  </si>
  <si>
    <t>フリーRレール　支柱用側面ブラケットN　出幅55㎜　ステンカラー</t>
    <rPh sb="8" eb="11">
      <t>シチュウヨウ</t>
    </rPh>
    <rPh sb="11" eb="13">
      <t>ソクメン</t>
    </rPh>
    <rPh sb="20" eb="22">
      <t>デハバ</t>
    </rPh>
    <phoneticPr fontId="3"/>
  </si>
  <si>
    <t>定価\9,300</t>
    <rPh sb="0" eb="2">
      <t>テイカ</t>
    </rPh>
    <phoneticPr fontId="3"/>
  </si>
  <si>
    <t>BJ-128DB</t>
    <phoneticPr fontId="3"/>
  </si>
  <si>
    <t>フリーRレール　支柱用側面ブラケットN　出幅55㎜　ダークブロンズ</t>
    <rPh sb="8" eb="11">
      <t>シチュウヨウ</t>
    </rPh>
    <rPh sb="11" eb="13">
      <t>ソクメン</t>
    </rPh>
    <rPh sb="20" eb="22">
      <t>デハバ</t>
    </rPh>
    <phoneticPr fontId="3"/>
  </si>
  <si>
    <t>ベストセレクトバー タイル・樹脂壁面用手すり（圧着手すり）/L400</t>
  </si>
  <si>
    <t>定価\19,000</t>
    <phoneticPr fontId="75"/>
  </si>
  <si>
    <t>ベストセレクトバー タイル・樹脂壁面用手すり（圧着手すり）/L600</t>
  </si>
  <si>
    <t>定価\20,000</t>
    <phoneticPr fontId="75"/>
  </si>
  <si>
    <t>ベストセレクトバー タイル・樹脂壁面用手すり（圧着手すり）/400x400</t>
    <phoneticPr fontId="75"/>
  </si>
  <si>
    <t>定価\31,000</t>
    <phoneticPr fontId="75"/>
  </si>
  <si>
    <t>ベストセレクトバー タイル・樹脂壁面用手すり（圧着手すり）/400x600</t>
  </si>
  <si>
    <t>定価\32,000</t>
    <phoneticPr fontId="75"/>
  </si>
  <si>
    <t>ベストセレクトバー タイル・樹脂壁面用手すり（圧着手すり）/600x600</t>
  </si>
  <si>
    <t>定価\33,000</t>
    <phoneticPr fontId="75"/>
  </si>
  <si>
    <t>UA-404-10</t>
    <phoneticPr fontId="75"/>
  </si>
  <si>
    <t>ベストセレクトバー タイル・樹脂壁面用手すり（圧着手すり）/400＋400</t>
    <phoneticPr fontId="75"/>
  </si>
  <si>
    <t>定価\31,000</t>
    <rPh sb="0" eb="2">
      <t>テイカ</t>
    </rPh>
    <phoneticPr fontId="75"/>
  </si>
  <si>
    <t>UA-406-10</t>
    <phoneticPr fontId="75"/>
  </si>
  <si>
    <t>ベストセレクトバー タイル・樹脂壁面用手すり（圧着手すり）/600＋400</t>
    <phoneticPr fontId="75"/>
  </si>
  <si>
    <t>ベストセレクトバー 鋼板壁面用手すり（マグネット手すり）/400</t>
  </si>
  <si>
    <t>ベストセレクトバー 鋼板壁面用手すり（マグネット手すり）/600</t>
  </si>
  <si>
    <t>ベストセレクトバー 鋼板壁面用手すり（マグネット手すり）/400x400</t>
  </si>
  <si>
    <t>ベストセレクトバー 鋼板壁面用手すり（マグネット手すり）400x600</t>
  </si>
  <si>
    <t>ベストセレクトバー 鋼板壁面用手すり（マグネット手すり）/600x600</t>
  </si>
  <si>
    <t>AKP○○○□</t>
    <phoneticPr fontId="3"/>
  </si>
  <si>
    <t>定価\29,600/m</t>
    <rPh sb="0" eb="3">
      <t>テイカエン</t>
    </rPh>
    <phoneticPr fontId="3"/>
  </si>
  <si>
    <t>AKP008□</t>
    <phoneticPr fontId="3"/>
  </si>
  <si>
    <t>あんからﾌﾟﾗｽ　0.8m</t>
    <phoneticPr fontId="3"/>
  </si>
  <si>
    <t>定価\24,800/巻</t>
    <rPh sb="0" eb="3">
      <t>テイカエン</t>
    </rPh>
    <rPh sb="10" eb="11">
      <t>マキ</t>
    </rPh>
    <phoneticPr fontId="3"/>
  </si>
  <si>
    <t>AKP009□</t>
  </si>
  <si>
    <t>あんからﾌﾟﾗｽ  0.9m</t>
    <phoneticPr fontId="3"/>
  </si>
  <si>
    <t>定価\27,700/巻</t>
    <rPh sb="0" eb="3">
      <t>テイカエン</t>
    </rPh>
    <rPh sb="10" eb="11">
      <t>マキ</t>
    </rPh>
    <phoneticPr fontId="3"/>
  </si>
  <si>
    <t>AKP010□</t>
  </si>
  <si>
    <t>あんからﾌﾟﾗｽ  1.0m</t>
    <phoneticPr fontId="3"/>
  </si>
  <si>
    <t>AKP011□</t>
  </si>
  <si>
    <t>あんからﾌﾟﾗｽ  1.1m</t>
    <phoneticPr fontId="3"/>
  </si>
  <si>
    <t>AKP012□</t>
  </si>
  <si>
    <t>あんからﾌﾟﾗｽ  1.2m</t>
    <phoneticPr fontId="3"/>
  </si>
  <si>
    <t>AKP013□</t>
  </si>
  <si>
    <t>あんからﾌﾟﾗｽ  1.3m</t>
    <phoneticPr fontId="3"/>
  </si>
  <si>
    <t>AKP014□</t>
  </si>
  <si>
    <t>あんからﾌﾟﾗｽ  1.4m</t>
    <phoneticPr fontId="3"/>
  </si>
  <si>
    <t>AKP015□</t>
  </si>
  <si>
    <t>あんからﾌﾟﾗｽ  1.5m</t>
    <phoneticPr fontId="3"/>
  </si>
  <si>
    <t>AKP016□</t>
  </si>
  <si>
    <t>あんからﾌﾟﾗｽ  1.6m</t>
    <phoneticPr fontId="3"/>
  </si>
  <si>
    <t>AKP017□</t>
  </si>
  <si>
    <t>あんからﾌﾟﾗｽ  1.7m</t>
    <phoneticPr fontId="3"/>
  </si>
  <si>
    <t>YYSS□</t>
    <phoneticPr fontId="3"/>
  </si>
  <si>
    <t>定価\14,400</t>
    <rPh sb="0" eb="3">
      <t>テイカエン</t>
    </rPh>
    <phoneticPr fontId="3"/>
  </si>
  <si>
    <t>MB</t>
    <phoneticPr fontId="3"/>
  </si>
  <si>
    <t>定価\1,060</t>
    <rPh sb="0" eb="3">
      <t>テイカエン</t>
    </rPh>
    <phoneticPr fontId="3"/>
  </si>
  <si>
    <t>TS136GU8</t>
    <phoneticPr fontId="3"/>
  </si>
  <si>
    <t>BD-74B</t>
    <phoneticPr fontId="3"/>
  </si>
  <si>
    <t>35S自在ジョイント　ブラウン</t>
    <rPh sb="3" eb="5">
      <t>ジザイ</t>
    </rPh>
    <phoneticPr fontId="3"/>
  </si>
  <si>
    <t>定価\2,600</t>
    <rPh sb="0" eb="2">
      <t>テイカ</t>
    </rPh>
    <phoneticPr fontId="3"/>
  </si>
  <si>
    <t>BD-74G</t>
    <phoneticPr fontId="3"/>
  </si>
  <si>
    <t>35S自在ジョイント　ゴールド</t>
    <phoneticPr fontId="3"/>
  </si>
  <si>
    <t>定価\2,600</t>
    <phoneticPr fontId="3"/>
  </si>
  <si>
    <t>BD-74S</t>
    <phoneticPr fontId="3"/>
  </si>
  <si>
    <t>35S自在ジョイント　シルバー</t>
    <phoneticPr fontId="3"/>
  </si>
  <si>
    <t>BH-514</t>
    <phoneticPr fontId="3"/>
  </si>
  <si>
    <t>定価\3,625/m</t>
    <rPh sb="0" eb="2">
      <t>テイカ</t>
    </rPh>
    <phoneticPr fontId="3"/>
  </si>
  <si>
    <t>BH-512</t>
    <phoneticPr fontId="3"/>
  </si>
  <si>
    <t>定価\3,600/m</t>
    <rPh sb="0" eb="2">
      <t>テイカ</t>
    </rPh>
    <phoneticPr fontId="3"/>
  </si>
  <si>
    <t>定価\7,300</t>
    <rPh sb="0" eb="2">
      <t>テイカ</t>
    </rPh>
    <phoneticPr fontId="3"/>
  </si>
  <si>
    <t>42φ　屋外支柱</t>
    <rPh sb="4" eb="8">
      <t>オクガイシチュウ</t>
    </rPh>
    <phoneticPr fontId="3"/>
  </si>
  <si>
    <t>定価\4,600</t>
    <rPh sb="0" eb="2">
      <t>テイカ</t>
    </rPh>
    <phoneticPr fontId="3"/>
  </si>
  <si>
    <t>42φ　屋外支柱L</t>
    <phoneticPr fontId="3"/>
  </si>
  <si>
    <t>定価\6,200</t>
    <rPh sb="0" eb="2">
      <t>テイカ</t>
    </rPh>
    <phoneticPr fontId="3"/>
  </si>
  <si>
    <t>42φ　支柱自在ｴﾝﾄﾞ</t>
    <rPh sb="4" eb="6">
      <t>シチュウ</t>
    </rPh>
    <rPh sb="6" eb="8">
      <t>ジザイ</t>
    </rPh>
    <phoneticPr fontId="3"/>
  </si>
  <si>
    <t>定価\5,100</t>
    <rPh sb="0" eb="2">
      <t>テイカ</t>
    </rPh>
    <phoneticPr fontId="3"/>
  </si>
  <si>
    <t>42φ　ﾌﾘｰ支柱</t>
    <rPh sb="7" eb="9">
      <t>シチュウ</t>
    </rPh>
    <phoneticPr fontId="3"/>
  </si>
  <si>
    <t>定価\8,960</t>
    <rPh sb="0" eb="2">
      <t>テイカ</t>
    </rPh>
    <phoneticPr fontId="3"/>
  </si>
  <si>
    <t>42φ　コンクリートカバー</t>
    <phoneticPr fontId="3"/>
  </si>
  <si>
    <t>定価\1,430</t>
    <rPh sb="0" eb="2">
      <t>テイカ</t>
    </rPh>
    <phoneticPr fontId="3"/>
  </si>
  <si>
    <t>HCDT-2000TMBR</t>
    <phoneticPr fontId="3"/>
  </si>
  <si>
    <t>HCDT-4000TMBR</t>
    <phoneticPr fontId="3"/>
  </si>
  <si>
    <t>ECL-5048USL</t>
    <phoneticPr fontId="3"/>
  </si>
  <si>
    <t>ECL-5028DUSL</t>
    <phoneticPr fontId="3"/>
  </si>
  <si>
    <t>ECL-5006KSUSL</t>
    <phoneticPr fontId="3"/>
  </si>
  <si>
    <t>HL7-P11TUSL</t>
    <phoneticPr fontId="3"/>
  </si>
  <si>
    <t>HL7-P16TUSL</t>
    <phoneticPr fontId="3"/>
  </si>
  <si>
    <t>013-7390</t>
    <phoneticPr fontId="3"/>
  </si>
  <si>
    <t>木製踏台　DX　1段　12　ミディアムオーク</t>
    <rPh sb="0" eb="2">
      <t>モクセイ</t>
    </rPh>
    <rPh sb="2" eb="4">
      <t>フミダイ</t>
    </rPh>
    <rPh sb="9" eb="10">
      <t>ダン</t>
    </rPh>
    <phoneticPr fontId="3"/>
  </si>
  <si>
    <t>定価\31,500</t>
    <rPh sb="0" eb="2">
      <t>テイカ</t>
    </rPh>
    <phoneticPr fontId="3"/>
  </si>
  <si>
    <t>BJ-158DB</t>
    <phoneticPr fontId="3"/>
  </si>
  <si>
    <t>ﾌﾘｰRﾚｰﾙ E埋め込み式支柱　ﾛﾝｸﾞﾀｲﾌﾟ 040-2958　ﾀﾞ-ｸﾌﾞﾛﾝｽﾞ</t>
    <phoneticPr fontId="3"/>
  </si>
  <si>
    <t>定価\14,100</t>
    <rPh sb="0" eb="2">
      <t>テイカ</t>
    </rPh>
    <phoneticPr fontId="3"/>
  </si>
  <si>
    <t>BJ-157ST</t>
    <phoneticPr fontId="3"/>
  </si>
  <si>
    <t>ﾌﾘｰRﾚｰﾙ E埋め込み式支柱　ﾛﾝｸﾞﾀｲﾌﾟ 040-2957　ｽﾃﾝｶﾗｰ</t>
    <phoneticPr fontId="3"/>
  </si>
  <si>
    <t>ECL-5012USL</t>
    <phoneticPr fontId="3"/>
  </si>
  <si>
    <t>42φ　自在ﾁｰｽﾞ</t>
    <rPh sb="4" eb="6">
      <t>ジザイ</t>
    </rPh>
    <phoneticPr fontId="3"/>
  </si>
  <si>
    <t>定価\4,520</t>
    <rPh sb="0" eb="2">
      <t>テイカ</t>
    </rPh>
    <phoneticPr fontId="3"/>
  </si>
  <si>
    <t>ECA-5044AUSL</t>
    <phoneticPr fontId="3"/>
  </si>
  <si>
    <t>34φ　エルボキャップA</t>
    <phoneticPr fontId="3"/>
  </si>
  <si>
    <t>定価\3,190</t>
    <rPh sb="0" eb="2">
      <t>テイカ</t>
    </rPh>
    <phoneticPr fontId="3"/>
  </si>
  <si>
    <t>ECA-5032USL</t>
    <phoneticPr fontId="3"/>
  </si>
  <si>
    <t>34φ　エンドブラケットアウター</t>
    <phoneticPr fontId="3"/>
  </si>
  <si>
    <t>定価\4,550</t>
    <rPh sb="0" eb="2">
      <t>テイカ</t>
    </rPh>
    <phoneticPr fontId="3"/>
  </si>
  <si>
    <t>BD-56G</t>
    <phoneticPr fontId="3"/>
  </si>
  <si>
    <t>スリムエンドブラケットカバー付　040-5051　ゴールド</t>
    <rPh sb="14" eb="15">
      <t>ツ</t>
    </rPh>
    <phoneticPr fontId="3"/>
  </si>
  <si>
    <t>BD-56B</t>
    <phoneticPr fontId="3"/>
  </si>
  <si>
    <t>スリムエンドブラケットカバー付　040-5050　ブラウン</t>
    <rPh sb="14" eb="15">
      <t>ツ</t>
    </rPh>
    <phoneticPr fontId="3"/>
  </si>
  <si>
    <t>BD-56S</t>
    <phoneticPr fontId="3"/>
  </si>
  <si>
    <t>スリムエンドブラケットカバー付　040-5052　シルバー</t>
    <rPh sb="14" eb="15">
      <t>ツ</t>
    </rPh>
    <phoneticPr fontId="3"/>
  </si>
  <si>
    <t>BJ-151WD</t>
    <phoneticPr fontId="3"/>
  </si>
  <si>
    <t>ﾌﾘｰRﾚｰﾙ　ジョイント　木目ﾀﾞｰｸ　040-2951</t>
    <rPh sb="14" eb="16">
      <t>モクメ</t>
    </rPh>
    <phoneticPr fontId="3"/>
  </si>
  <si>
    <t>BJ-152WN</t>
    <phoneticPr fontId="3"/>
  </si>
  <si>
    <t>ﾌﾘｰRﾚｰﾙ　ジョイント　木目ﾅﾁｭﾗﾙ　040-2952</t>
    <rPh sb="14" eb="16">
      <t>モクメ</t>
    </rPh>
    <phoneticPr fontId="3"/>
  </si>
  <si>
    <t>BJ-153PC</t>
    <phoneticPr fontId="3"/>
  </si>
  <si>
    <t>ﾌﾘｰRﾚｰﾙ　ジョイント　ﾁｮｺﾚｰﾄ　040-2953</t>
    <phoneticPr fontId="3"/>
  </si>
  <si>
    <t>HCDT-2000TUSL</t>
    <phoneticPr fontId="3"/>
  </si>
  <si>
    <t>HCDT-4000TUSL</t>
    <phoneticPr fontId="3"/>
  </si>
  <si>
    <t>ECA-5045　SGD</t>
    <phoneticPr fontId="3"/>
  </si>
  <si>
    <t>34φ　チーズアウター/シャンパンゴールド</t>
    <phoneticPr fontId="3"/>
  </si>
  <si>
    <t>定価\1,940</t>
    <rPh sb="0" eb="2">
      <t>テイカ</t>
    </rPh>
    <phoneticPr fontId="3"/>
  </si>
  <si>
    <t>ECA-5045　MGR</t>
    <phoneticPr fontId="3"/>
  </si>
  <si>
    <t>34φ　チーズアウター/メタリックグレー</t>
    <phoneticPr fontId="3"/>
  </si>
  <si>
    <t>ECA-5045　MLB</t>
    <phoneticPr fontId="3"/>
  </si>
  <si>
    <t>34φ　チーズアウター/メタリックライトブラウン</t>
    <phoneticPr fontId="3"/>
  </si>
  <si>
    <t>HDD7-2000　T　LBR</t>
    <phoneticPr fontId="3"/>
  </si>
  <si>
    <t>定価\5,910</t>
    <rPh sb="0" eb="2">
      <t>テイカ</t>
    </rPh>
    <phoneticPr fontId="3"/>
  </si>
  <si>
    <t>HDD7-4000　T　LBR</t>
    <phoneticPr fontId="3"/>
  </si>
  <si>
    <t>定価\11,810</t>
    <rPh sb="0" eb="2">
      <t>テイカ</t>
    </rPh>
    <phoneticPr fontId="3"/>
  </si>
  <si>
    <t>AA-35FEB　GLD</t>
    <phoneticPr fontId="3"/>
  </si>
  <si>
    <t>35φ　自在ｴﾝﾄﾞベース/ゴールド</t>
    <rPh sb="4" eb="6">
      <t>ジザイ</t>
    </rPh>
    <phoneticPr fontId="3"/>
  </si>
  <si>
    <t>定価\3,010</t>
    <rPh sb="0" eb="2">
      <t>テイカ</t>
    </rPh>
    <phoneticPr fontId="3"/>
  </si>
  <si>
    <t>AB-35FA　GLD</t>
    <phoneticPr fontId="3"/>
  </si>
  <si>
    <t>35φ　自在ジョイント鋭角/ゴールド</t>
    <rPh sb="4" eb="6">
      <t>ジザイ</t>
    </rPh>
    <rPh sb="11" eb="13">
      <t>エイカク</t>
    </rPh>
    <phoneticPr fontId="3"/>
  </si>
  <si>
    <t>定価\3,810</t>
    <rPh sb="0" eb="2">
      <t>テイカ</t>
    </rPh>
    <phoneticPr fontId="3"/>
  </si>
  <si>
    <t>AB-35TJ-1　GLD</t>
    <phoneticPr fontId="3"/>
  </si>
  <si>
    <t>35φ　チーズ</t>
    <phoneticPr fontId="3"/>
  </si>
  <si>
    <t>定価\1,620</t>
    <rPh sb="0" eb="2">
      <t>テイカ</t>
    </rPh>
    <phoneticPr fontId="3"/>
  </si>
  <si>
    <t>AA-35TS　GLD</t>
    <phoneticPr fontId="3"/>
  </si>
  <si>
    <t>35φ　トールスタンド</t>
    <phoneticPr fontId="3"/>
  </si>
  <si>
    <t>定価\9,720</t>
    <rPh sb="0" eb="2">
      <t>テイカ</t>
    </rPh>
    <phoneticPr fontId="3"/>
  </si>
  <si>
    <t>BD-70G</t>
    <phoneticPr fontId="3"/>
  </si>
  <si>
    <t>35Rエンドキャップ/ゴールド</t>
    <phoneticPr fontId="3"/>
  </si>
  <si>
    <t>定価\3,000</t>
    <rPh sb="0" eb="2">
      <t>テイカ</t>
    </rPh>
    <phoneticPr fontId="3"/>
  </si>
  <si>
    <t>BD-70B</t>
    <phoneticPr fontId="3"/>
  </si>
  <si>
    <t>35Rエンドキャップ/ブラウン</t>
    <phoneticPr fontId="3"/>
  </si>
  <si>
    <t>BD-70S</t>
    <phoneticPr fontId="3"/>
  </si>
  <si>
    <t>35Rエンドキャップ/シルバー</t>
    <phoneticPr fontId="3"/>
  </si>
  <si>
    <t>T110D24</t>
    <phoneticPr fontId="3"/>
  </si>
  <si>
    <t>スペーサー　6㎜</t>
    <phoneticPr fontId="3"/>
  </si>
  <si>
    <t>T110D32</t>
    <phoneticPr fontId="3"/>
  </si>
  <si>
    <t>スペーサー　15㎜</t>
    <phoneticPr fontId="3"/>
  </si>
  <si>
    <t>T110D33</t>
    <phoneticPr fontId="3"/>
  </si>
  <si>
    <t>スペーサー　20㎜</t>
    <phoneticPr fontId="3"/>
  </si>
  <si>
    <t>BJ-11ST</t>
    <phoneticPr fontId="3"/>
  </si>
  <si>
    <t>自在ｿｹｯﾄ　ｽﾃﾝｶﾗｰ</t>
    <rPh sb="0" eb="2">
      <t>ジザイ</t>
    </rPh>
    <phoneticPr fontId="3"/>
  </si>
  <si>
    <t>BJ-82DB</t>
    <phoneticPr fontId="3"/>
  </si>
  <si>
    <t>自在ｿｹｯﾄ　ﾀﾞｰｸﾌﾞﾛﾝｽﾞ</t>
    <rPh sb="0" eb="2">
      <t>ジザイ</t>
    </rPh>
    <phoneticPr fontId="3"/>
  </si>
  <si>
    <t>BD-35G</t>
    <phoneticPr fontId="3"/>
  </si>
  <si>
    <t>35Tジョイント　ゴールド</t>
    <phoneticPr fontId="3"/>
  </si>
  <si>
    <t>定価\1,250</t>
    <rPh sb="0" eb="2">
      <t>テイカ</t>
    </rPh>
    <phoneticPr fontId="3"/>
  </si>
  <si>
    <t>BD-35B</t>
    <phoneticPr fontId="3"/>
  </si>
  <si>
    <t>35Tジョイント　ブラウン</t>
    <phoneticPr fontId="3"/>
  </si>
  <si>
    <t>BD-35S</t>
    <phoneticPr fontId="3"/>
  </si>
  <si>
    <t>35Tジョイント　シルバー</t>
    <phoneticPr fontId="3"/>
  </si>
  <si>
    <t>BD-64B</t>
    <phoneticPr fontId="3"/>
  </si>
  <si>
    <t>BD-64G</t>
    <phoneticPr fontId="3"/>
  </si>
  <si>
    <t>BD-64S</t>
    <phoneticPr fontId="3"/>
  </si>
  <si>
    <t>35ｴﾝﾄﾞﾌﾞﾗｹｯﾄ金属ｶﾊﾞｰ付　ﾌﾞﾗｳﾝ</t>
    <rPh sb="12" eb="14">
      <t>キンゾク</t>
    </rPh>
    <rPh sb="18" eb="19">
      <t>ツキ</t>
    </rPh>
    <phoneticPr fontId="3"/>
  </si>
  <si>
    <t>35ｴﾝﾄﾞﾌﾞﾗｹｯﾄ金属ｶﾊﾞｰ付　ｺﾞｰﾙﾄﾞ</t>
    <rPh sb="12" eb="14">
      <t>キンゾク</t>
    </rPh>
    <rPh sb="18" eb="19">
      <t>ツキ</t>
    </rPh>
    <phoneticPr fontId="3"/>
  </si>
  <si>
    <t>35ｴﾝﾄﾞﾌﾞﾗｹｯﾄ金属ｶﾊﾞｰ付　ｼﾙﾊﾞｰ</t>
    <rPh sb="12" eb="14">
      <t>キンゾク</t>
    </rPh>
    <rPh sb="18" eb="19">
      <t>ツキ</t>
    </rPh>
    <phoneticPr fontId="3"/>
  </si>
  <si>
    <t>定価\2,250</t>
    <rPh sb="0" eb="3">
      <t>テイカエン</t>
    </rPh>
    <phoneticPr fontId="3"/>
  </si>
  <si>
    <t>BD-49G</t>
    <phoneticPr fontId="3"/>
  </si>
  <si>
    <t>縦枠用持出スリムブラケットカバー付　ゴールド</t>
    <rPh sb="0" eb="3">
      <t>タテワクヨウ</t>
    </rPh>
    <rPh sb="3" eb="5">
      <t>モチダシ</t>
    </rPh>
    <rPh sb="16" eb="17">
      <t>ツ</t>
    </rPh>
    <phoneticPr fontId="3"/>
  </si>
  <si>
    <t>定価\4,300</t>
    <rPh sb="0" eb="2">
      <t>テイカ</t>
    </rPh>
    <phoneticPr fontId="3"/>
  </si>
  <si>
    <t>BD-49S</t>
    <phoneticPr fontId="3"/>
  </si>
  <si>
    <t>縦枠用持出スリムブラケットカバー付　シルバー</t>
    <rPh sb="0" eb="3">
      <t>タテワクヨウ</t>
    </rPh>
    <rPh sb="3" eb="5">
      <t>モチダシ</t>
    </rPh>
    <rPh sb="16" eb="17">
      <t>ツ</t>
    </rPh>
    <phoneticPr fontId="3"/>
  </si>
  <si>
    <t>BD-49B</t>
    <phoneticPr fontId="3"/>
  </si>
  <si>
    <t>縦枠用持出スリムブラケットカバー付　ブラウン</t>
    <rPh sb="0" eb="3">
      <t>タテワクヨウ</t>
    </rPh>
    <rPh sb="3" eb="5">
      <t>モチダシ</t>
    </rPh>
    <rPh sb="16" eb="17">
      <t>ツ</t>
    </rPh>
    <phoneticPr fontId="3"/>
  </si>
  <si>
    <t>EWT12BE35Z#AG</t>
    <phoneticPr fontId="3"/>
  </si>
  <si>
    <t>EWT12BE35Z#WS</t>
    <phoneticPr fontId="3"/>
  </si>
  <si>
    <t>EWT12BE35Z#BZ</t>
    <phoneticPr fontId="3"/>
  </si>
  <si>
    <t>住　　　　所　  福岡市西区小戸1丁目16-24
施工業者名　㈱介福本舗
代表者名　　 眞田　友寿
担当者・電話番号　　担当：　092-985-0904</t>
    <rPh sb="9" eb="12">
      <t>フクオカシ</t>
    </rPh>
    <rPh sb="12" eb="14">
      <t>ニシク</t>
    </rPh>
    <rPh sb="14" eb="16">
      <t>オド</t>
    </rPh>
    <rPh sb="17" eb="19">
      <t>チョウメ</t>
    </rPh>
    <rPh sb="32" eb="33">
      <t>カイ</t>
    </rPh>
    <rPh sb="33" eb="34">
      <t>フク</t>
    </rPh>
    <rPh sb="34" eb="36">
      <t>ホンポ</t>
    </rPh>
    <rPh sb="44" eb="45">
      <t>マ</t>
    </rPh>
    <rPh sb="45" eb="46">
      <t>タ</t>
    </rPh>
    <rPh sb="47" eb="48">
      <t>トモ</t>
    </rPh>
    <rPh sb="48" eb="49">
      <t>コトブキ</t>
    </rPh>
    <phoneticPr fontId="3"/>
  </si>
  <si>
    <t>住　　　　所　  福岡市西区小戸1丁目16-24
施工業者名　㈱介福本舗
代表者名　　 眞田　友寿
担当者・電話番号　　担当：　092-985-0904</t>
    <rPh sb="9" eb="12">
      <t>フクオカシ</t>
    </rPh>
    <rPh sb="12" eb="13">
      <t>ニシ</t>
    </rPh>
    <rPh sb="13" eb="14">
      <t>ク</t>
    </rPh>
    <rPh sb="14" eb="16">
      <t>オド</t>
    </rPh>
    <rPh sb="17" eb="19">
      <t>チョウメ</t>
    </rPh>
    <rPh sb="32" eb="33">
      <t>カイ</t>
    </rPh>
    <rPh sb="33" eb="34">
      <t>フク</t>
    </rPh>
    <rPh sb="34" eb="36">
      <t>ホンポ</t>
    </rPh>
    <rPh sb="44" eb="45">
      <t>マ</t>
    </rPh>
    <rPh sb="45" eb="46">
      <t>タ</t>
    </rPh>
    <rPh sb="47" eb="48">
      <t>トモ</t>
    </rPh>
    <rPh sb="48" eb="49">
      <t>コトブキ</t>
    </rPh>
    <phoneticPr fontId="3"/>
  </si>
  <si>
    <t>BJ-53ST</t>
    <phoneticPr fontId="3"/>
  </si>
  <si>
    <t>ベースプレート式エンド式（高さ調整機能付）　ステンカラー</t>
    <rPh sb="7" eb="8">
      <t>シキ</t>
    </rPh>
    <rPh sb="11" eb="12">
      <t>シキ</t>
    </rPh>
    <rPh sb="13" eb="14">
      <t>タカ</t>
    </rPh>
    <rPh sb="15" eb="17">
      <t>チョウセイ</t>
    </rPh>
    <rPh sb="17" eb="19">
      <t>キノウ</t>
    </rPh>
    <rPh sb="19" eb="20">
      <t>ツ</t>
    </rPh>
    <phoneticPr fontId="3"/>
  </si>
  <si>
    <t>定価\25,900</t>
    <rPh sb="0" eb="3">
      <t>テイカエン</t>
    </rPh>
    <phoneticPr fontId="3"/>
  </si>
  <si>
    <t>BJ-93DB</t>
    <phoneticPr fontId="3"/>
  </si>
  <si>
    <t>ベースプレート式エンド式（高さ調整機能付）　ダークブロンズ</t>
    <phoneticPr fontId="3"/>
  </si>
  <si>
    <t>BDE-35GMB</t>
    <phoneticPr fontId="3"/>
  </si>
  <si>
    <t>室内用手すりエンド支柱　木製タイプ（アジャスト付）　Mブラウン＋ゴールド</t>
    <rPh sb="0" eb="3">
      <t>シツナイヨウ</t>
    </rPh>
    <rPh sb="3" eb="4">
      <t>テ</t>
    </rPh>
    <rPh sb="9" eb="11">
      <t>シチュウ</t>
    </rPh>
    <rPh sb="12" eb="14">
      <t>モクセイ</t>
    </rPh>
    <rPh sb="23" eb="24">
      <t>ツキ</t>
    </rPh>
    <phoneticPr fontId="3"/>
  </si>
  <si>
    <t>定価\24,000</t>
    <rPh sb="0" eb="2">
      <t>テイカ</t>
    </rPh>
    <phoneticPr fontId="3"/>
  </si>
  <si>
    <t>TS136GY3</t>
    <phoneticPr fontId="3"/>
  </si>
  <si>
    <t>ｲﾝﾃﾘｱ・ﾊﾞｰ Ｆｼﾘｰｽﾞ Ｉﾀｲﾌﾟ（ｿﾌﾄﾒｯｼｭ）/#NW1ﾎﾜｲﾄ/L300</t>
    <phoneticPr fontId="3"/>
  </si>
  <si>
    <t>TS136GY6R</t>
    <phoneticPr fontId="3"/>
  </si>
  <si>
    <t>ｲﾝﾃﾘｱ・ﾊﾞｰ Fｼﾘｰｽﾞ Ｉﾀｲﾌﾟ（ｿﾌﾄﾒｯｼｭ）/#NW1ﾎﾜｲﾄ/L700</t>
    <phoneticPr fontId="3"/>
  </si>
  <si>
    <t>ｲﾝﾃﾘｱ・ﾊﾞｰ Ｆｼﾘｰｽﾞ Ｉﾀｲﾌﾟ（ｿﾌﾄﾒｯｼｭ）/#NW1ﾎﾜｲﾄ/L800</t>
    <phoneticPr fontId="3"/>
  </si>
  <si>
    <t>ｲﾝﾃﾘｱ・ﾊﾞｰ Ｆｼﾘｰｽﾞ Ｉﾀｲﾌﾟ（ｿﾌﾄﾒｯｼｭ）/#NW1ﾎﾜｲﾄ/L900</t>
    <phoneticPr fontId="3"/>
  </si>
  <si>
    <t>ｲﾝﾃﾘｱ・ﾊﾞｰ Ｆｼﾘｰｽﾞ Ｉﾀｲﾌﾟ（ｿﾌﾄﾒｯｼｭ）/#NW1ﾎﾜｲﾄ/L1200</t>
    <phoneticPr fontId="3"/>
  </si>
  <si>
    <t>定価\9,100</t>
    <rPh sb="0" eb="3">
      <t>テイカエン</t>
    </rPh>
    <phoneticPr fontId="3"/>
  </si>
  <si>
    <t>定価\9,550</t>
    <rPh sb="0" eb="3">
      <t>テイカエン</t>
    </rPh>
    <phoneticPr fontId="3"/>
  </si>
  <si>
    <t>定価\10,000</t>
    <rPh sb="0" eb="3">
      <t>テイカエン</t>
    </rPh>
    <phoneticPr fontId="3"/>
  </si>
  <si>
    <t>定価\10,500</t>
    <rPh sb="0" eb="3">
      <t>テイカエン</t>
    </rPh>
    <phoneticPr fontId="3"/>
  </si>
  <si>
    <t>定価\10,900</t>
    <rPh sb="0" eb="3">
      <t>テイカエン</t>
    </rPh>
    <phoneticPr fontId="3"/>
  </si>
  <si>
    <t>定価\11,400</t>
    <rPh sb="0" eb="3">
      <t>テイカエン</t>
    </rPh>
    <phoneticPr fontId="3"/>
  </si>
  <si>
    <t>定価\11,800</t>
    <rPh sb="0" eb="3">
      <t>テイカエン</t>
    </rPh>
    <phoneticPr fontId="3"/>
  </si>
  <si>
    <t>定価\17,600</t>
    <rPh sb="0" eb="3">
      <t>テイカエン</t>
    </rPh>
    <phoneticPr fontId="3"/>
  </si>
  <si>
    <t>定価\18,700</t>
    <rPh sb="0" eb="3">
      <t>テイカエン</t>
    </rPh>
    <phoneticPr fontId="3"/>
  </si>
  <si>
    <t>定価\19,800</t>
    <rPh sb="0" eb="3">
      <t>テイカエン</t>
    </rPh>
    <phoneticPr fontId="3"/>
  </si>
  <si>
    <t>TS136GDY4</t>
    <phoneticPr fontId="3"/>
  </si>
  <si>
    <t>ｲﾝﾃﾘｱ・ﾊﾞｰ Ｆｼﾘｰｽﾞ ｵﾌｾｯﾄﾀｲﾌﾟ（ｿﾌﾄﾒｯｼｭ）/#NW1ﾎﾜｲﾄ/L400</t>
    <phoneticPr fontId="3"/>
  </si>
  <si>
    <t>TS136GDY6</t>
    <phoneticPr fontId="3"/>
  </si>
  <si>
    <t>ｲﾝﾃﾘｱ・ﾊﾞｰ Ｆｼﾘｰｽﾞ ｵﾌｾｯﾄﾀｲﾌﾟ（ｿﾌﾄﾒｯｼｭ）/#NW1ﾎﾜｲﾄ/L600</t>
    <phoneticPr fontId="3"/>
  </si>
  <si>
    <t>ｲﾝﾃﾘｱ・ﾊﾞｰ Ｆｼﾘｰｽﾞ 出隅ﾀｲﾌﾟ（ｿﾌﾄﾒｯｼｭ）/#NW1ﾎﾜｲﾄ/L600</t>
    <rPh sb="17" eb="19">
      <t>デスミ</t>
    </rPh>
    <phoneticPr fontId="3"/>
  </si>
  <si>
    <t>定価\12,700</t>
    <rPh sb="0" eb="3">
      <t>テイカエン</t>
    </rPh>
    <phoneticPr fontId="3"/>
  </si>
  <si>
    <t>TS136GU3</t>
    <phoneticPr fontId="3"/>
  </si>
  <si>
    <t>ｲﾝﾃﾘｱ･ﾊﾞｰFｼﾘｰｽﾞ(UB後付け Iﾀｲﾌﾟ)/#NW1ﾎﾜｲﾄ/L300</t>
    <phoneticPr fontId="3"/>
  </si>
  <si>
    <t>定価\12,800</t>
    <rPh sb="0" eb="3">
      <t>テイカエン</t>
    </rPh>
    <phoneticPr fontId="3"/>
  </si>
  <si>
    <t>定価\13,300</t>
    <rPh sb="0" eb="3">
      <t>テイカエン</t>
    </rPh>
    <phoneticPr fontId="3"/>
  </si>
  <si>
    <t>定価\13,800</t>
    <rPh sb="0" eb="3">
      <t>テイカエン</t>
    </rPh>
    <phoneticPr fontId="3"/>
  </si>
  <si>
    <t>定価\14,200</t>
    <rPh sb="0" eb="3">
      <t>テイカエン</t>
    </rPh>
    <phoneticPr fontId="3"/>
  </si>
  <si>
    <t>TS136GFU12</t>
    <phoneticPr fontId="3"/>
  </si>
  <si>
    <t>ｲﾝﾃﾘｱ･ﾊﾞｰFｼﾘｰｽﾞ(UB後付け Iﾀｲﾌﾟ)/#NW1ﾎﾜｲﾄ/L800</t>
    <phoneticPr fontId="3"/>
  </si>
  <si>
    <t>ｲﾝﾃﾘｱ･ﾊﾞｰFｼﾘｰｽﾞ(UB後付け Iﾀｲﾌﾟ)/#NW1ﾎﾜｲﾄ/L1200</t>
    <phoneticPr fontId="3"/>
  </si>
  <si>
    <t>定価\15,200</t>
    <rPh sb="0" eb="3">
      <t>テイカエン</t>
    </rPh>
    <phoneticPr fontId="3"/>
  </si>
  <si>
    <t>定価\23,200</t>
    <rPh sb="0" eb="3">
      <t>テイカエン</t>
    </rPh>
    <phoneticPr fontId="3"/>
  </si>
  <si>
    <t>TS136GLU86</t>
    <phoneticPr fontId="3"/>
  </si>
  <si>
    <t>ｲﾝﾃﾘｱ･ﾊﾞｰFｼﾘｰｽﾞ(UB後付け Iﾀｲﾌﾟ)/#NW1ﾎﾜｲﾄ/L600*400</t>
    <phoneticPr fontId="3"/>
  </si>
  <si>
    <t>ｲﾝﾃﾘｱ･ﾊﾞｰFｼﾘｰｽﾞ(UB後付け Iﾀｲﾌﾟ)/#NW1ﾎﾜｲﾄ/L600*600</t>
    <phoneticPr fontId="3"/>
  </si>
  <si>
    <t>ｲﾝﾃﾘｱ･ﾊﾞｰFｼﾘｰｽﾞ(UB後付け Iﾀｲﾌﾟ)/#NW1ﾎﾜｲﾄ/L800*600</t>
    <phoneticPr fontId="3"/>
  </si>
  <si>
    <t>定価\24,300</t>
    <rPh sb="0" eb="3">
      <t>テイカエン</t>
    </rPh>
    <phoneticPr fontId="3"/>
  </si>
  <si>
    <t>定価\25,500</t>
    <rPh sb="0" eb="3">
      <t>テイカエン</t>
    </rPh>
    <phoneticPr fontId="3"/>
  </si>
  <si>
    <t>TS134GY3S</t>
    <phoneticPr fontId="3"/>
  </si>
  <si>
    <t>TS134GY4S</t>
  </si>
  <si>
    <t>TS134GY5S</t>
  </si>
  <si>
    <t>TS134GY7S</t>
  </si>
  <si>
    <t>TS134GY9S</t>
  </si>
  <si>
    <t>TS134GKY8S</t>
    <phoneticPr fontId="3"/>
  </si>
  <si>
    <t>TS134GFY12S</t>
    <phoneticPr fontId="3"/>
  </si>
  <si>
    <t>ｲﾝﾃﾘｱ･ﾊﾞｰｾｰﾌﾃｨﾀｲﾌﾟ/#NW1ﾎﾜｲﾄ/300</t>
    <phoneticPr fontId="3"/>
  </si>
  <si>
    <t>ｲﾝﾃﾘｱ･ﾊﾞｰｾｰﾌﾃｨﾀｲﾌﾟ/#NW1ﾎﾜｲﾄ/400</t>
    <phoneticPr fontId="3"/>
  </si>
  <si>
    <t>ｲﾝﾃﾘｱ･ﾊﾞｰｾｰﾌﾃｨﾀｲﾌﾟ/#NW1ﾎﾜｲﾄ/500</t>
    <phoneticPr fontId="3"/>
  </si>
  <si>
    <t>ｲﾝﾃﾘｱ･ﾊﾞｰｾｰﾌﾃｨﾀｲﾌﾟ/#NW1ﾎﾜｲﾄ/600</t>
    <phoneticPr fontId="3"/>
  </si>
  <si>
    <t>ｲﾝﾃﾘｱ･ﾊﾞｰｾｰﾌﾃｨﾀｲﾌﾟ/#NW1ﾎﾜｲﾄ/700</t>
    <phoneticPr fontId="3"/>
  </si>
  <si>
    <t>ｲﾝﾃﾘｱ･ﾊﾞｰｾｰﾌﾃｨﾀｲﾌﾟ/#NW1ﾎﾜｲﾄ/800</t>
    <phoneticPr fontId="3"/>
  </si>
  <si>
    <t>ｲﾝﾃﾘｱ･ﾊﾞｰｾｰﾌﾃｨﾀｲﾌﾟ/#NW1ﾎﾜｲﾄ/900</t>
    <phoneticPr fontId="3"/>
  </si>
  <si>
    <t>ｲﾝﾃﾘｱ･ﾊﾞｰｾｰﾌﾃｨﾀｲﾌﾟ/#NW1ﾎﾜｲﾄ/1200</t>
    <phoneticPr fontId="3"/>
  </si>
  <si>
    <t>定価\14,900</t>
    <rPh sb="0" eb="3">
      <t>テイカエン</t>
    </rPh>
    <phoneticPr fontId="3"/>
  </si>
  <si>
    <t>定価\15,600</t>
    <rPh sb="0" eb="3">
      <t>テイカエン</t>
    </rPh>
    <phoneticPr fontId="3"/>
  </si>
  <si>
    <t>定価\16,300</t>
    <rPh sb="0" eb="3">
      <t>テイカエン</t>
    </rPh>
    <phoneticPr fontId="3"/>
  </si>
  <si>
    <t>定価\17,100</t>
    <rPh sb="0" eb="3">
      <t>テイカエン</t>
    </rPh>
    <phoneticPr fontId="3"/>
  </si>
  <si>
    <t>定価\18,000</t>
    <rPh sb="0" eb="3">
      <t>テイカエン</t>
    </rPh>
    <phoneticPr fontId="3"/>
  </si>
  <si>
    <t>定価\26,300</t>
    <rPh sb="0" eb="3">
      <t>テイカエン</t>
    </rPh>
    <phoneticPr fontId="3"/>
  </si>
  <si>
    <t>TS134GLCY7S</t>
  </si>
  <si>
    <t>TS134GLCY8S</t>
  </si>
  <si>
    <t>ｲﾝﾃﾘｱ･ﾊﾞｰｾｰﾌﾃｨﾀｲﾌﾟ Lﾀｲﾌﾟ/#NW1ﾎﾜｲﾄ/600*400</t>
    <phoneticPr fontId="3"/>
  </si>
  <si>
    <t>ｲﾝﾃﾘｱ･ﾊﾞｰｾｰﾌﾃｨﾀｲﾌﾟ Lﾀｲﾌﾟ/#NW1ﾎﾜｲﾄ/600*600</t>
    <phoneticPr fontId="3"/>
  </si>
  <si>
    <t>ｲﾝﾃﾘｱ･ﾊﾞｰｾｰﾌﾃｨﾀｲﾌﾟ Lﾀｲﾌﾟ/#NW1ﾎﾜｲﾄ/600*800</t>
    <phoneticPr fontId="3"/>
  </si>
  <si>
    <t>定価\27,700</t>
    <rPh sb="0" eb="3">
      <t>テイカエン</t>
    </rPh>
    <phoneticPr fontId="3"/>
  </si>
  <si>
    <t>定価\30,300</t>
    <rPh sb="0" eb="3">
      <t>テイカエン</t>
    </rPh>
    <phoneticPr fontId="3"/>
  </si>
  <si>
    <t>TS134GU3S</t>
    <phoneticPr fontId="73"/>
  </si>
  <si>
    <t>TS134GU4S</t>
  </si>
  <si>
    <t>TS134GU5S</t>
  </si>
  <si>
    <t>TS134GU8S</t>
    <phoneticPr fontId="73"/>
  </si>
  <si>
    <t>ｲﾝﾃﾘｱ･ﾊﾞｰｾｰﾌﾃｨﾀｲﾌﾟ(UB後付け Iﾀｲﾌﾟ)/#NW1ﾎﾜｲﾄ/L300</t>
    <phoneticPr fontId="3"/>
  </si>
  <si>
    <t>ｲﾝﾃﾘｱ･ﾊﾞｰｾｰﾌﾃｨﾀｲﾌﾟ(UB後付け Iﾀｲﾌﾟ)/#NW1ﾎﾜｲﾄ/L400</t>
    <phoneticPr fontId="3"/>
  </si>
  <si>
    <t>ｲﾝﾃﾘｱ･ﾊﾞｰｾｰﾌﾃｨﾀｲﾌﾟ(UB後付け Iﾀｲﾌﾟ)/#NW1ﾎﾜｲﾄ/L500</t>
    <phoneticPr fontId="3"/>
  </si>
  <si>
    <t>ｲﾝﾃﾘｱ･ﾊﾞｰｾｰﾌﾃｨﾀｲﾌﾟ(UB後付け Iﾀｲﾌﾟ)/#NW1ﾎﾜｲﾄ/L600</t>
    <phoneticPr fontId="3"/>
  </si>
  <si>
    <t>ｲﾝﾃﾘｱ･ﾊﾞｰｾｰﾌﾃｨﾀｲﾌﾟ(UB後付け Iﾀｲﾌﾟ)/#NW1ﾎﾜｲﾄ/L800</t>
    <phoneticPr fontId="3"/>
  </si>
  <si>
    <t>定価\18,800</t>
    <rPh sb="0" eb="3">
      <t>テイカエン</t>
    </rPh>
    <phoneticPr fontId="3"/>
  </si>
  <si>
    <t>定価\19,600</t>
    <rPh sb="0" eb="3">
      <t>テイカエン</t>
    </rPh>
    <phoneticPr fontId="3"/>
  </si>
  <si>
    <t>定価\20,300</t>
    <rPh sb="0" eb="3">
      <t>テイカエン</t>
    </rPh>
    <phoneticPr fontId="3"/>
  </si>
  <si>
    <t>定価\21,100</t>
    <rPh sb="0" eb="3">
      <t>テイカエン</t>
    </rPh>
    <phoneticPr fontId="3"/>
  </si>
  <si>
    <t>定価\22,600</t>
    <rPh sb="0" eb="3">
      <t>テイカエン</t>
    </rPh>
    <phoneticPr fontId="3"/>
  </si>
  <si>
    <t>TS134GLU64S</t>
    <phoneticPr fontId="73"/>
  </si>
  <si>
    <t>TS134GLU66S</t>
    <phoneticPr fontId="73"/>
  </si>
  <si>
    <t>TS134GLU86S</t>
    <phoneticPr fontId="73"/>
  </si>
  <si>
    <t>ｲﾝﾃﾘｱ･ﾊﾞｰｾｰﾌﾃｨﾀｲﾌﾟ(UB後付け Lﾀｲﾌﾟ)/#NW1ﾎﾜｲﾄ/L600*400</t>
    <phoneticPr fontId="3"/>
  </si>
  <si>
    <t>定価\34,300</t>
    <rPh sb="0" eb="3">
      <t>テイカエン</t>
    </rPh>
    <phoneticPr fontId="3"/>
  </si>
  <si>
    <t>ｲﾝﾃﾘｱ･ﾊﾞｰｾｰﾌﾃｨﾀｲﾌﾟ(UB後付け Lﾀｲﾌﾟ)/#NW1ﾎﾜｲﾄ/L600*600</t>
    <phoneticPr fontId="3"/>
  </si>
  <si>
    <t>定価\35,900</t>
    <rPh sb="0" eb="3">
      <t>テイカエン</t>
    </rPh>
    <phoneticPr fontId="3"/>
  </si>
  <si>
    <t>ｲﾝﾃﾘｱ･ﾊﾞｰｾｰﾌﾃｨﾀｲﾌﾟ(UB後付け Lﾀｲﾌﾟ)/#NW1ﾎﾜｲﾄ/L600*800</t>
    <phoneticPr fontId="3"/>
  </si>
  <si>
    <t>定価\37,500</t>
    <rPh sb="0" eb="3">
      <t>テイカエン</t>
    </rPh>
    <phoneticPr fontId="3"/>
  </si>
  <si>
    <t>定価\2,500</t>
    <rPh sb="0" eb="3">
      <t>テイカエン</t>
    </rPh>
    <phoneticPr fontId="3"/>
  </si>
  <si>
    <t>定価\4,200</t>
    <rPh sb="0" eb="3">
      <t>テイカエン</t>
    </rPh>
    <phoneticPr fontId="3"/>
  </si>
  <si>
    <t>定価\5,050</t>
    <rPh sb="0" eb="3">
      <t>テイカエン</t>
    </rPh>
    <phoneticPr fontId="3"/>
  </si>
  <si>
    <t>ｴﾝﾄﾞﾎﾙﾀﾞｰ#AGゴールド</t>
    <phoneticPr fontId="73"/>
  </si>
  <si>
    <t>ｴﾝﾄﾞﾎﾙﾀﾞｰ#WSウォームシルバー</t>
    <phoneticPr fontId="73"/>
  </si>
  <si>
    <t>ｴﾝﾄﾞﾎﾙﾀﾞｰ#BZブロンズ</t>
    <phoneticPr fontId="73"/>
  </si>
  <si>
    <t>EWT13BZ35#AG</t>
    <phoneticPr fontId="3"/>
  </si>
  <si>
    <t>EWT13BZ35#WS</t>
    <phoneticPr fontId="3"/>
  </si>
  <si>
    <t>EWT13BZ35#BZ</t>
    <phoneticPr fontId="3"/>
  </si>
  <si>
    <t>ｵﾌｾｯﾄﾌﾞﾗｹｯﾄ#AGゴールド</t>
    <phoneticPr fontId="73"/>
  </si>
  <si>
    <t>ｵﾌｾｯﾄﾌﾞﾗｹｯﾄ#WSウォームシルバー</t>
    <phoneticPr fontId="73"/>
  </si>
  <si>
    <t>ｵﾌｾｯﾄﾌﾞﾗｹｯﾄ#BZブロンズ</t>
    <phoneticPr fontId="73"/>
  </si>
  <si>
    <t>定価\2,750</t>
    <rPh sb="0" eb="3">
      <t>テイカエン</t>
    </rPh>
    <phoneticPr fontId="3"/>
  </si>
  <si>
    <t>定価\4,950</t>
    <rPh sb="0" eb="3">
      <t>テイカエン</t>
    </rPh>
    <phoneticPr fontId="3"/>
  </si>
  <si>
    <t>定価\2,850</t>
    <rPh sb="0" eb="3">
      <t>テイカエン</t>
    </rPh>
    <phoneticPr fontId="3"/>
  </si>
  <si>
    <t>ﾌﾘｰRﾚｰﾙ E埋め込み式ｺｰﾅｰ支柱 040-2877 ｽﾃﾝｶﾗ-</t>
    <phoneticPr fontId="3"/>
  </si>
  <si>
    <t>住　　　　所　  福岡市博多区東那珂2-11-30
施工業者名　㈱介福本舗　博多営業所
代表者名　　 眞田　友寿
担当者・電話番号　　担当：山下　遼　092-482-3030</t>
    <rPh sb="9" eb="12">
      <t>フクオカシ</t>
    </rPh>
    <rPh sb="12" eb="15">
      <t>ハカタク</t>
    </rPh>
    <rPh sb="15" eb="18">
      <t>ヒガシナカ</t>
    </rPh>
    <rPh sb="33" eb="34">
      <t>カイ</t>
    </rPh>
    <rPh sb="34" eb="35">
      <t>フク</t>
    </rPh>
    <rPh sb="35" eb="37">
      <t>ホンポ</t>
    </rPh>
    <rPh sb="38" eb="40">
      <t>ハカタ</t>
    </rPh>
    <rPh sb="40" eb="43">
      <t>エイギョウショ</t>
    </rPh>
    <rPh sb="51" eb="52">
      <t>マ</t>
    </rPh>
    <rPh sb="52" eb="53">
      <t>タ</t>
    </rPh>
    <rPh sb="54" eb="55">
      <t>トモ</t>
    </rPh>
    <rPh sb="55" eb="56">
      <t>コトブキ</t>
    </rPh>
    <rPh sb="70" eb="72">
      <t>ヤマシタ</t>
    </rPh>
    <rPh sb="73" eb="74">
      <t>リョウ</t>
    </rPh>
    <phoneticPr fontId="3"/>
  </si>
  <si>
    <t>住　　　　所　  福岡市博多区東那珂2-11-30
施工業者名　㈱介福本舗　博多営業所
代表者名　　 眞田　友寿
担当者・電話番号　　担当・山下　遼　092-482-3030</t>
    <rPh sb="9" eb="12">
      <t>フクオカシ</t>
    </rPh>
    <rPh sb="12" eb="15">
      <t>ハカタク</t>
    </rPh>
    <rPh sb="15" eb="18">
      <t>ヒガシナカ</t>
    </rPh>
    <rPh sb="33" eb="34">
      <t>カイ</t>
    </rPh>
    <rPh sb="34" eb="35">
      <t>フク</t>
    </rPh>
    <rPh sb="35" eb="37">
      <t>ホンポ</t>
    </rPh>
    <rPh sb="38" eb="43">
      <t>ハカタエイギョウショ</t>
    </rPh>
    <rPh sb="51" eb="52">
      <t>マ</t>
    </rPh>
    <rPh sb="52" eb="53">
      <t>タ</t>
    </rPh>
    <rPh sb="54" eb="55">
      <t>トモ</t>
    </rPh>
    <rPh sb="55" eb="56">
      <t>コトブキ</t>
    </rPh>
    <rPh sb="70" eb="72">
      <t>ヤマシタ</t>
    </rPh>
    <rPh sb="73" eb="74">
      <t>リョウ</t>
    </rPh>
    <phoneticPr fontId="3"/>
  </si>
  <si>
    <t>←ここが最終利益率！！</t>
    <rPh sb="4" eb="9">
      <t>サイシュウリエキリツ</t>
    </rPh>
    <phoneticPr fontId="3"/>
  </si>
  <si>
    <t>35φ ｱｯｼｭ丸棒ﾃﾞｨﾝﾌﾟﾙ付  040-0925   ｸﾘｱ</t>
    <phoneticPr fontId="3"/>
  </si>
  <si>
    <t>35φ ｱｯｼｭ丸棒　ﾃﾞｨﾝﾌﾟﾙ付 040-0920　 ｸﾘｱ</t>
    <phoneticPr fontId="3"/>
  </si>
  <si>
    <t>35φｱｯｼｭ丸棒　ﾃﾞｨﾝﾌﾟﾙ付 040-0955  Mｵｰｸ</t>
    <phoneticPr fontId="3"/>
  </si>
  <si>
    <t>35φｱｯｼｭ丸棒 ﾃﾞｨﾝﾌﾟﾙ付 040-0950   Mｵｰｸ</t>
    <phoneticPr fontId="3"/>
  </si>
  <si>
    <t>35φ ｱｯｼｭ丸棒　ﾃﾞｨﾝﾌﾟﾙ付 040-0915  Mﾌﾞﾗｳﾝ</t>
    <phoneticPr fontId="3"/>
  </si>
  <si>
    <t>35φ ｱｯｼｭ丸棒　ﾃﾞｨﾝﾌﾟﾙ付 040-0910   Mﾌﾞﾗｳﾝ</t>
    <phoneticPr fontId="3"/>
  </si>
  <si>
    <t>木製ﾍﾞｰｽﾌﾟﾚｰﾄ15×120 040-2147　 Mﾌﾞﾗｳﾝ</t>
    <phoneticPr fontId="3"/>
  </si>
  <si>
    <t>木製ﾍﾞｰｽﾌﾟﾚｰﾄ15×120 040-2157  ｸﾘｱ</t>
    <phoneticPr fontId="3"/>
  </si>
  <si>
    <t>木製ﾍﾞｰｽﾌﾟﾚｰﾄ 20X100 040-2138   Mｵｰｸ</t>
    <phoneticPr fontId="3"/>
  </si>
  <si>
    <t>木製ﾍﾞｰｽﾌﾟﾚｰﾄ15×120 040-2142　 Mﾌﾞﾗｳﾝ</t>
    <phoneticPr fontId="3"/>
  </si>
  <si>
    <t>木製ﾍﾞｰｽﾌﾟﾚｰﾄ15×120 040-2163　 Mｵｰｸ</t>
    <phoneticPr fontId="3"/>
  </si>
  <si>
    <t>木製ﾍﾞｰｽﾌﾟﾚｰﾄ15×120 040-2152　クリア</t>
    <phoneticPr fontId="3"/>
  </si>
  <si>
    <t>ﾌﾘ-Rﾚ-ﾙ 直棒手すり/木目ﾀﾞｰｸ/ 040-2722</t>
    <phoneticPr fontId="3"/>
  </si>
  <si>
    <t>ﾌﾘ-Rﾚ-ﾙ直棒手すり/木目ﾀﾞｰｸ/040-2721</t>
    <phoneticPr fontId="3"/>
  </si>
  <si>
    <t>ﾌﾘｰRﾚｰﾙ 直棒手すり/木目ﾅﾁｭﾗﾙ/040-2720</t>
    <phoneticPr fontId="3"/>
  </si>
  <si>
    <t>ﾌﾘ-Rﾚ-ﾙ直棒手すり/木目ﾅﾁｭﾗﾙ/040-2719</t>
    <phoneticPr fontId="3"/>
  </si>
  <si>
    <t>ﾌﾘ-Rﾚ-ﾙ 直棒手すり 040-2747/ﾁｮｺﾚｰﾄ</t>
    <phoneticPr fontId="3"/>
  </si>
  <si>
    <t>ﾌﾘ-Rﾚ-ﾙ 直棒手すり/040-2746 /ﾁｮｺﾚｰﾄ</t>
    <phoneticPr fontId="3"/>
  </si>
  <si>
    <t>ﾌﾘ-Rﾚ-ﾙ 直棒手すりディンプル付/木目ﾀﾞｰｸ/040-3130</t>
    <rPh sb="18" eb="19">
      <t>ツ</t>
    </rPh>
    <phoneticPr fontId="3"/>
  </si>
  <si>
    <t>ﾌﾘ-Rﾚ-ﾙ 直棒手すりディンプル付/木目ナチュラル/040-3127</t>
    <rPh sb="20" eb="22">
      <t>モクメ</t>
    </rPh>
    <phoneticPr fontId="3"/>
  </si>
  <si>
    <t>ﾌﾘ-Rﾚ-ﾙ 直棒手すりディンプル付/チョコレート/040-3131</t>
    <phoneticPr fontId="3"/>
  </si>
  <si>
    <t>ﾌﾘ-Rﾚ-ﾙ 直棒手すりディンプル付/木目ﾀﾞｰｸ/040-3129</t>
    <phoneticPr fontId="3"/>
  </si>
  <si>
    <t>ﾌﾘ-Rﾚ-ﾙ 直棒手すりディンプル付/木目ナチュラル/040-3128</t>
    <phoneticPr fontId="3"/>
  </si>
  <si>
    <t>ﾌﾘ-Rﾚ-ﾙ 直棒手すりディンプル付/チョコレート/040-3132</t>
    <phoneticPr fontId="3"/>
  </si>
  <si>
    <t>32φ ｱｯｼｭ丸棒  ﾃﾞｨﾝﾌﾟﾙ付 040-1225  ｸﾘｱ</t>
    <phoneticPr fontId="3"/>
  </si>
  <si>
    <t>32φ ｱｯｼｭ丸棒　ﾃﾞｨﾝﾌﾟﾙ付 040-1220　ｸﾘｱ</t>
    <phoneticPr fontId="3"/>
  </si>
  <si>
    <t>32φ ｱｯｼｭ丸棒　ﾃﾞｨﾝﾌﾟﾙ付 040-1227 Mｵｰｸ</t>
    <phoneticPr fontId="3"/>
  </si>
  <si>
    <t>32φ ｱｯｼｭ丸棒  ﾃﾞｨﾝﾌﾟﾙ付 040-1221 Mｵｰｸ</t>
    <phoneticPr fontId="3"/>
  </si>
  <si>
    <t>32φ ｱｯｼｭ丸棒　ﾃﾞｨﾝﾌﾟﾙ付 040-1215  Mﾌﾞﾗｳﾝ</t>
    <phoneticPr fontId="3"/>
  </si>
  <si>
    <t>32φ ｱｯｼｭ丸棒　ﾃﾞｨﾝﾌﾟﾙ付 040-1210 Mﾌﾞﾗｳﾝ</t>
    <phoneticPr fontId="3"/>
  </si>
  <si>
    <t>木製ﾍﾞｰｽﾌﾟﾚｰﾄ 20X100 040-2112  Mブラウン</t>
    <phoneticPr fontId="3"/>
  </si>
  <si>
    <t>木製ﾍﾞｰｽﾌﾟﾚｰﾄ 15×80 040-2171 Mブラウン</t>
    <phoneticPr fontId="3"/>
  </si>
  <si>
    <t>木製ﾍﾞｰｽﾌﾟﾚｰﾄ 15×80 040-2176 Mブラウン</t>
    <phoneticPr fontId="3"/>
  </si>
  <si>
    <t>34φ屋外手すりﾊﾟｲﾌﾟ/ﾒﾀﾘｯｸｸﾞﾚｰ</t>
    <phoneticPr fontId="3"/>
  </si>
  <si>
    <t>34φ屋外手すりﾊﾟｲﾌﾟ/ﾒﾀﾘｯｸﾗｲﾄﾌﾞﾗｳﾝ</t>
    <phoneticPr fontId="3"/>
  </si>
  <si>
    <t>34φ屋外手すりﾊﾟｲﾌﾟ/ｼｬﾝﾊﾟﾝｺﾞｰﾙﾄﾞ</t>
    <phoneticPr fontId="3"/>
  </si>
  <si>
    <t>34φ屋外ﾃﾞｨﾝﾌﾟﾙﾊﾟｲﾌﾟ/ﾒﾀﾘｯｸｸﾞﾚｰ</t>
    <phoneticPr fontId="3"/>
  </si>
  <si>
    <t>34φﾃﾞｨﾝﾌﾟﾙﾊﾟｲﾌﾟ/ﾒﾀﾘｯｸﾗｲﾄﾌﾞﾗｳﾝ</t>
    <phoneticPr fontId="3"/>
  </si>
  <si>
    <t>34φﾃﾞｨﾝﾌﾟﾙﾊﾟｲﾌﾟ/ｼｬﾝﾊﾟﾝｺﾞｰﾙﾄﾞ</t>
    <phoneticPr fontId="3"/>
  </si>
  <si>
    <t>34φ　屋外ｽｷｯﾌﾟﾃﾞｨﾝﾌﾟﾙ/ﾏﾛﾝﾌﾞﾗｳﾝ</t>
    <rPh sb="4" eb="6">
      <t>オクガイ</t>
    </rPh>
    <phoneticPr fontId="3"/>
  </si>
  <si>
    <t>34φ　屋外ｽｷｯﾌﾟﾃﾞｨﾝﾌﾟﾙ/ﾏﾛﾝﾌﾞﾗｳﾝ</t>
    <phoneticPr fontId="3"/>
  </si>
  <si>
    <t>34φ　屋外ｽｷｯﾌﾟﾃﾞｨﾝﾌﾟﾙ/ｱｰﾊﾞﾝｼﾙﾊﾞｰ</t>
    <rPh sb="4" eb="6">
      <t>オクガイ</t>
    </rPh>
    <phoneticPr fontId="3"/>
  </si>
  <si>
    <t>34φ　屋外ｽｷｯﾌﾟﾃﾞｨﾝﾌﾟﾙ/ｱｰﾊﾞﾝｼﾙﾊﾞｰ</t>
    <phoneticPr fontId="3"/>
  </si>
  <si>
    <t>35φ　パイプディンプルタイプ/ライトブラウン</t>
    <phoneticPr fontId="3"/>
  </si>
  <si>
    <t>住　　　　所　  筑後市和泉210-1
施工業者名　㈱介福本舗　筑後営業所
代表者名　　 眞田　友寿
担当者・電話番号　　担当：　喜田　慎太郎　0942-42-1117</t>
    <rPh sb="9" eb="12">
      <t>チクゴシ</t>
    </rPh>
    <rPh sb="12" eb="13">
      <t>ワ</t>
    </rPh>
    <rPh sb="13" eb="14">
      <t>イズミ</t>
    </rPh>
    <rPh sb="27" eb="28">
      <t>カイ</t>
    </rPh>
    <rPh sb="28" eb="29">
      <t>フク</t>
    </rPh>
    <rPh sb="29" eb="31">
      <t>ホンポ</t>
    </rPh>
    <rPh sb="32" eb="34">
      <t>チクゴ</t>
    </rPh>
    <rPh sb="34" eb="37">
      <t>エイギョウショ</t>
    </rPh>
    <rPh sb="45" eb="46">
      <t>マ</t>
    </rPh>
    <rPh sb="46" eb="47">
      <t>タ</t>
    </rPh>
    <rPh sb="48" eb="49">
      <t>トモ</t>
    </rPh>
    <rPh sb="49" eb="50">
      <t>コトブキ</t>
    </rPh>
    <rPh sb="65" eb="67">
      <t>キダ</t>
    </rPh>
    <rPh sb="68" eb="71">
      <t>シンタロウ</t>
    </rPh>
    <phoneticPr fontId="3"/>
  </si>
  <si>
    <t>住　　　　所　  筑後市和泉210-1
施工業者名　㈱介福本舗　筑後営業所
代表者名　　 眞田　友寿
担当者・電話番号　　担当：喜田　慎太郎　0942-42-1117</t>
    <rPh sb="12" eb="14">
      <t>ワイズミ</t>
    </rPh>
    <phoneticPr fontId="3"/>
  </si>
  <si>
    <t>BD-46G</t>
    <phoneticPr fontId="3"/>
  </si>
  <si>
    <t>半受出隅スリム座　ブラケットカバー付　ゴールド</t>
    <rPh sb="0" eb="2">
      <t>ハンウケ</t>
    </rPh>
    <rPh sb="2" eb="3">
      <t>デ</t>
    </rPh>
    <rPh sb="3" eb="4">
      <t>スミ</t>
    </rPh>
    <rPh sb="7" eb="8">
      <t>ザ</t>
    </rPh>
    <rPh sb="17" eb="18">
      <t>ツ</t>
    </rPh>
    <phoneticPr fontId="3"/>
  </si>
  <si>
    <t>定価\2,100</t>
    <rPh sb="0" eb="2">
      <t>テイカ</t>
    </rPh>
    <phoneticPr fontId="3"/>
  </si>
  <si>
    <t>BD-46S</t>
    <phoneticPr fontId="3"/>
  </si>
  <si>
    <t>半受出隅スリム座　ブラケットカバー付　シルバー</t>
    <rPh sb="0" eb="2">
      <t>ハンウケ</t>
    </rPh>
    <rPh sb="2" eb="3">
      <t>デ</t>
    </rPh>
    <rPh sb="3" eb="4">
      <t>スミ</t>
    </rPh>
    <rPh sb="7" eb="8">
      <t>ザ</t>
    </rPh>
    <rPh sb="17" eb="18">
      <t>ツ</t>
    </rPh>
    <phoneticPr fontId="3"/>
  </si>
  <si>
    <t>BD-46B</t>
    <phoneticPr fontId="3"/>
  </si>
  <si>
    <t>半受出隅スリム座　ブラケットカバー付　ブラウン</t>
    <rPh sb="0" eb="2">
      <t>ハンウケ</t>
    </rPh>
    <rPh sb="2" eb="3">
      <t>デ</t>
    </rPh>
    <rPh sb="3" eb="4">
      <t>スミ</t>
    </rPh>
    <rPh sb="7" eb="8">
      <t>ザ</t>
    </rPh>
    <rPh sb="17" eb="18">
      <t>ツ</t>
    </rPh>
    <phoneticPr fontId="3"/>
  </si>
  <si>
    <t>TS134GY6S</t>
    <phoneticPr fontId="3"/>
  </si>
  <si>
    <t>TS134GU6S</t>
    <phoneticPr fontId="3"/>
  </si>
  <si>
    <t>BDE-33GMB</t>
    <phoneticPr fontId="3"/>
  </si>
  <si>
    <t>室内用手すり支柱　木製タイプ（アジャスト付）　Mブラウン＋ゴールド</t>
    <rPh sb="0" eb="3">
      <t>シツナイヨウ</t>
    </rPh>
    <rPh sb="3" eb="4">
      <t>テ</t>
    </rPh>
    <rPh sb="6" eb="8">
      <t>シチュウ</t>
    </rPh>
    <rPh sb="9" eb="11">
      <t>モクセイ</t>
    </rPh>
    <rPh sb="20" eb="21">
      <t>ツキ</t>
    </rPh>
    <phoneticPr fontId="3"/>
  </si>
  <si>
    <t>定価\23,000</t>
    <rPh sb="0" eb="2">
      <t>テイカ</t>
    </rPh>
    <phoneticPr fontId="3"/>
  </si>
  <si>
    <t>BD-43G</t>
    <phoneticPr fontId="3"/>
  </si>
  <si>
    <t>35自在ソケット　ｺﾞｰﾙﾄﾞ</t>
    <rPh sb="2" eb="4">
      <t>ジザイ</t>
    </rPh>
    <phoneticPr fontId="3"/>
  </si>
  <si>
    <t>定価\4,200</t>
    <rPh sb="0" eb="2">
      <t>テイカ</t>
    </rPh>
    <phoneticPr fontId="3"/>
  </si>
  <si>
    <t>BD-43S</t>
    <phoneticPr fontId="3"/>
  </si>
  <si>
    <t>35自在ソケット　ｼﾙﾊﾞｰ</t>
    <rPh sb="2" eb="4">
      <t>ジザイ</t>
    </rPh>
    <phoneticPr fontId="3"/>
  </si>
  <si>
    <t>BD-43B</t>
    <phoneticPr fontId="3"/>
  </si>
  <si>
    <t>35自在ソケット　ﾌﾞﾛﾝｽﾞ</t>
    <rPh sb="2" eb="4">
      <t>ジザイ</t>
    </rPh>
    <phoneticPr fontId="3"/>
  </si>
  <si>
    <t>HWR4000</t>
    <phoneticPr fontId="3"/>
  </si>
  <si>
    <t>ホタルWラクダ</t>
    <phoneticPr fontId="3"/>
  </si>
  <si>
    <t>定価\7,250/m</t>
    <rPh sb="0" eb="3">
      <t>テイカエン</t>
    </rPh>
    <phoneticPr fontId="3"/>
  </si>
  <si>
    <t>FRZ-900A</t>
    <phoneticPr fontId="3"/>
  </si>
  <si>
    <t>滑りにくい　フラットレール　150㎜幅　Zタイプ</t>
    <rPh sb="0" eb="1">
      <t>スベ</t>
    </rPh>
    <rPh sb="18" eb="19">
      <t>ハバ</t>
    </rPh>
    <phoneticPr fontId="3"/>
  </si>
  <si>
    <t>定価\14,800</t>
    <rPh sb="0" eb="2">
      <t>テイカ</t>
    </rPh>
    <phoneticPr fontId="3"/>
  </si>
  <si>
    <t>45W-30-1段</t>
    <rPh sb="8" eb="9">
      <t>ダン</t>
    </rPh>
    <phoneticPr fontId="3"/>
  </si>
  <si>
    <t>TS134GLMY7</t>
    <phoneticPr fontId="3"/>
  </si>
  <si>
    <t>ｲﾝﾃﾘｱ･ﾊﾞｰｾｰﾌﾃｨﾀｲﾌﾟ Lﾀｲﾌﾟ（前出120㎜）/#NW1ﾎﾜｲﾄ/600*600</t>
    <rPh sb="25" eb="26">
      <t>マエ</t>
    </rPh>
    <rPh sb="26" eb="27">
      <t>デ</t>
    </rPh>
    <phoneticPr fontId="3"/>
  </si>
  <si>
    <t>定価\30,500</t>
    <rPh sb="0" eb="2">
      <t>テイカ</t>
    </rPh>
    <phoneticPr fontId="3"/>
  </si>
  <si>
    <t>TS134GLMY8</t>
    <phoneticPr fontId="3"/>
  </si>
  <si>
    <t>ｲﾝﾃﾘｱ･ﾊﾞｰｾｰﾌﾃｨﾀｲﾌﾟ Lﾀｲﾌﾟ（前出120㎜）/#NW1ﾎﾜｲﾄ/600*800</t>
    <phoneticPr fontId="3"/>
  </si>
  <si>
    <t>定価\32,200</t>
    <rPh sb="0" eb="2">
      <t>テイカ</t>
    </rPh>
    <phoneticPr fontId="3"/>
  </si>
  <si>
    <t>TS134GMY6</t>
    <phoneticPr fontId="3"/>
  </si>
  <si>
    <t>ｲﾝﾃﾘｱ･ﾊﾞｰｾｰﾌﾃｨﾀｲﾌﾟ（前出120㎜）/#NW1ﾎﾜｲﾄ/600</t>
    <phoneticPr fontId="3"/>
  </si>
  <si>
    <t>定価\17,000</t>
    <rPh sb="0" eb="2">
      <t>テイカ</t>
    </rPh>
    <phoneticPr fontId="3"/>
  </si>
  <si>
    <t>TS136GEY4</t>
    <phoneticPr fontId="3"/>
  </si>
  <si>
    <t>ｲﾝﾃﾘｱ・ﾊﾞｰ Ｆｼﾘｰｽﾞ ｵﾌｾｯﾄﾀｲﾌﾟ（ｿﾌﾄﾒｯｼｭ・前出120㎜）/#NW1ﾎﾜｲﾄ/L400</t>
    <rPh sb="35" eb="36">
      <t>マエ</t>
    </rPh>
    <rPh sb="36" eb="37">
      <t>デ</t>
    </rPh>
    <phoneticPr fontId="3"/>
  </si>
  <si>
    <t>定価\11,400</t>
    <rPh sb="0" eb="2">
      <t>テイカ</t>
    </rPh>
    <phoneticPr fontId="3"/>
  </si>
  <si>
    <t>TS136GEY6</t>
    <phoneticPr fontId="3"/>
  </si>
  <si>
    <t>ｲﾝﾃﾘｱ・ﾊﾞｰ Ｆｼﾘｰｽﾞ ｵﾌｾｯﾄﾀｲﾌﾟ（ｿﾌﾄﾒｯｼｭ・前出120㎜）/#NW1ﾎﾜｲﾄ/L600</t>
    <rPh sb="35" eb="36">
      <t>マエ</t>
    </rPh>
    <rPh sb="36" eb="37">
      <t>デ</t>
    </rPh>
    <phoneticPr fontId="3"/>
  </si>
  <si>
    <t>定価\12,200</t>
    <rPh sb="0" eb="2">
      <t>テイカ</t>
    </rPh>
    <phoneticPr fontId="3"/>
  </si>
  <si>
    <t>BD-19G</t>
    <phoneticPr fontId="3"/>
  </si>
  <si>
    <t>35Lｺｰﾅｰ　ｺﾞｰﾙﾄﾞ</t>
    <phoneticPr fontId="3"/>
  </si>
  <si>
    <t>定価\1,100</t>
    <rPh sb="0" eb="2">
      <t>テイカ</t>
    </rPh>
    <phoneticPr fontId="3"/>
  </si>
  <si>
    <t>BD-19S</t>
    <phoneticPr fontId="3"/>
  </si>
  <si>
    <t>35Lｺｰﾅｰ　ｼﾙﾊﾞｰ</t>
    <phoneticPr fontId="3"/>
  </si>
  <si>
    <t>BD-19B</t>
    <phoneticPr fontId="3"/>
  </si>
  <si>
    <t>35Lｺｰﾅｰ　ﾌﾞﾛﾝｽﾞ</t>
    <phoneticPr fontId="3"/>
  </si>
  <si>
    <t>BH-25MB</t>
    <phoneticPr fontId="3"/>
  </si>
  <si>
    <t>ベースプレート用木製カバー　出隅用　Mﾌﾞﾗｳﾝ　120㎜用</t>
    <rPh sb="7" eb="8">
      <t>ヨウ</t>
    </rPh>
    <rPh sb="8" eb="10">
      <t>モクセイ</t>
    </rPh>
    <rPh sb="14" eb="15">
      <t>デ</t>
    </rPh>
    <rPh sb="15" eb="16">
      <t>スミ</t>
    </rPh>
    <rPh sb="16" eb="17">
      <t>ヨウ</t>
    </rPh>
    <rPh sb="29" eb="30">
      <t>ヨウ</t>
    </rPh>
    <phoneticPr fontId="3"/>
  </si>
  <si>
    <t>定価\3,800</t>
    <rPh sb="0" eb="2">
      <t>テイカ</t>
    </rPh>
    <phoneticPr fontId="3"/>
  </si>
  <si>
    <t>定価\3,600/m</t>
  </si>
  <si>
    <t>ECL-5047USL</t>
    <phoneticPr fontId="3"/>
  </si>
  <si>
    <t>42φ　つなぎ支柱</t>
    <rPh sb="7" eb="9">
      <t>シチュウ</t>
    </rPh>
    <phoneticPr fontId="3"/>
  </si>
  <si>
    <t>定価\9,400</t>
    <phoneticPr fontId="3"/>
  </si>
  <si>
    <t>HCDT-2000TBBR</t>
    <phoneticPr fontId="3"/>
  </si>
  <si>
    <t>34φ　屋外ｽｷｯﾌﾟﾃﾞｨﾝﾌﾟﾙ/ﾋﾞﾀｰﾌﾞﾗｳﾝ</t>
    <rPh sb="4" eb="6">
      <t>オクガイ</t>
    </rPh>
    <phoneticPr fontId="3"/>
  </si>
  <si>
    <t>HCDT-4000TBBR</t>
    <phoneticPr fontId="3"/>
  </si>
  <si>
    <t>34φ　屋外ｽｷｯﾌﾟﾃﾞｨﾝﾌﾟﾙ/ﾋﾞﾀｰﾌﾞﾗｳﾝ</t>
    <phoneticPr fontId="3"/>
  </si>
  <si>
    <t>JC12WFS1V-□□</t>
    <phoneticPr fontId="3"/>
  </si>
  <si>
    <t>【NODA】カナエルC12・Jベース　Wフィット　VC</t>
    <phoneticPr fontId="3"/>
  </si>
  <si>
    <t>定価\27,000/坪</t>
    <rPh sb="0" eb="2">
      <t>テイカ</t>
    </rPh>
    <rPh sb="10" eb="11">
      <t>ツボ</t>
    </rPh>
    <phoneticPr fontId="3"/>
  </si>
  <si>
    <t>FA12R-20□□</t>
    <phoneticPr fontId="3"/>
  </si>
  <si>
    <t>【NODA】上り框（12㎜厚×1,950㎜）　後仕上げタイプ</t>
    <rPh sb="6" eb="7">
      <t>アガ</t>
    </rPh>
    <rPh sb="8" eb="9">
      <t>カマチ</t>
    </rPh>
    <rPh sb="13" eb="14">
      <t>アツ</t>
    </rPh>
    <rPh sb="23" eb="24">
      <t>アト</t>
    </rPh>
    <rPh sb="24" eb="26">
      <t>シア</t>
    </rPh>
    <phoneticPr fontId="3"/>
  </si>
  <si>
    <t>定価\15,600</t>
    <rPh sb="0" eb="2">
      <t>テイカ</t>
    </rPh>
    <phoneticPr fontId="3"/>
  </si>
  <si>
    <t>FA12R-21□□</t>
    <phoneticPr fontId="3"/>
  </si>
  <si>
    <t>【NODA】上り框（12㎜厚×2,950㎜）　後仕上げタイプ</t>
    <phoneticPr fontId="3"/>
  </si>
  <si>
    <t>定価\25,600</t>
    <rPh sb="0" eb="2">
      <t>テイカ</t>
    </rPh>
    <phoneticPr fontId="3"/>
  </si>
  <si>
    <t>BH-23MB</t>
    <phoneticPr fontId="3"/>
  </si>
  <si>
    <t>ベースプレート用木製カバー　真壁用　Mﾌﾞﾗｳﾝ　120㎜用</t>
    <rPh sb="7" eb="8">
      <t>ヨウ</t>
    </rPh>
    <rPh sb="8" eb="10">
      <t>モクセイ</t>
    </rPh>
    <rPh sb="14" eb="16">
      <t>シンカベ</t>
    </rPh>
    <rPh sb="16" eb="17">
      <t>ヨウ</t>
    </rPh>
    <phoneticPr fontId="3"/>
  </si>
  <si>
    <t>定価\1,900</t>
    <rPh sb="0" eb="2">
      <t>テイカ</t>
    </rPh>
    <phoneticPr fontId="3"/>
  </si>
  <si>
    <t>BH-23MO</t>
    <phoneticPr fontId="3"/>
  </si>
  <si>
    <t>ベースプレート用木製カバー　真壁用　Mｵｰｸ　120㎜用</t>
    <rPh sb="7" eb="8">
      <t>ヨウ</t>
    </rPh>
    <rPh sb="8" eb="10">
      <t>モクセイ</t>
    </rPh>
    <phoneticPr fontId="3"/>
  </si>
  <si>
    <t>BH-23C</t>
    <phoneticPr fontId="3"/>
  </si>
  <si>
    <t>ベースプレート用木製カバー　真壁用　ｸﾘｱ　120㎜用</t>
    <rPh sb="7" eb="8">
      <t>ヨウ</t>
    </rPh>
    <rPh sb="8" eb="10">
      <t>モクセイ</t>
    </rPh>
    <phoneticPr fontId="3"/>
  </si>
  <si>
    <t>昭和</t>
  </si>
  <si>
    <t>年</t>
  </si>
  <si>
    <t>月</t>
  </si>
  <si>
    <t>日</t>
  </si>
  <si>
    <t>屋外</t>
    <rPh sb="0" eb="2">
      <t>オクガイ</t>
    </rPh>
    <phoneticPr fontId="3"/>
  </si>
  <si>
    <t>定価¥115,270/kg</t>
    <rPh sb="0" eb="2">
      <t>テイカ</t>
    </rPh>
    <phoneticPr fontId="3"/>
  </si>
  <si>
    <t>B-NC</t>
    <phoneticPr fontId="3"/>
  </si>
  <si>
    <t>BJ-235ST</t>
    <phoneticPr fontId="3"/>
  </si>
  <si>
    <t>ｵﾌｾｯﾄﾌﾞﾗｹｯﾄ　040-3141　ｽﾃﾝｶﾗｰ色　</t>
    <rPh sb="27" eb="28">
      <t>イロ</t>
    </rPh>
    <phoneticPr fontId="3"/>
  </si>
  <si>
    <t>定価\17,000</t>
    <rPh sb="0" eb="3">
      <t>テイカエン</t>
    </rPh>
    <phoneticPr fontId="3"/>
  </si>
  <si>
    <t>BJ-236DB</t>
    <phoneticPr fontId="3"/>
  </si>
  <si>
    <t>ｵﾌｾｯﾄﾌﾞﾗｹｯﾄ　040-3142　ﾀﾞｰｸﾌﾞﾛﾝｽﾞ　</t>
    <phoneticPr fontId="3"/>
  </si>
  <si>
    <t>2026年7月  日</t>
    <rPh sb="4" eb="5">
      <t>ネン</t>
    </rPh>
    <rPh sb="6" eb="7">
      <t>ガツ</t>
    </rPh>
    <rPh sb="9" eb="10">
      <t>ニチ</t>
    </rPh>
    <phoneticPr fontId="3"/>
  </si>
  <si>
    <t>2026/7/</t>
    <phoneticPr fontId="3"/>
  </si>
  <si>
    <t>【ノースケア】CP　骨材硬化剤</t>
    <phoneticPr fontId="3"/>
  </si>
  <si>
    <t>オープン価格</t>
    <rPh sb="4" eb="6">
      <t>カカク</t>
    </rPh>
    <phoneticPr fontId="3"/>
  </si>
  <si>
    <t>【ノースケア】クリーナー</t>
    <phoneticPr fontId="3"/>
  </si>
  <si>
    <t>施工費</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</si>
</sst>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6" formatCode="&quot;¥&quot;#,##0;[Red]&quot;¥&quot;\-#,##0"/>
    <numFmt numFmtId="176" formatCode="#,##0_ "/>
    <numFmt numFmtId="177" formatCode="#,##0_);[Red]\(#,##0\)"/>
    <numFmt numFmtId="178" formatCode="0.0%"/>
    <numFmt numFmtId="179" formatCode="yyyy&quot;年&quot;m&quot;月&quot;d&quot;日&quot;;@"/>
    <numFmt numFmtId="180" formatCode="0_ "/>
    <numFmt numFmtId="181" formatCode="#,##0;&quot;▲&quot;#,##0;#"/>
    <numFmt numFmtId="182" formatCode="[$-F800]dddd\,\ mmmm\ dd\,\ yyyy"/>
  </numFmts>
  <fonts count="79">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sz val="18"/>
      <name val="ＭＳ Ｐゴシック"/>
      <family val="3"/>
      <charset val="128"/>
    </font>
    <font>
      <sz val="24"/>
      <name val="ＭＳ Ｐゴシック"/>
      <family val="3"/>
      <charset val="128"/>
    </font>
    <font>
      <u/>
      <sz val="11"/>
      <name val="ＭＳ Ｐゴシック"/>
      <family val="3"/>
      <charset val="128"/>
    </font>
    <font>
      <sz val="12"/>
      <name val="ＭＳ Ｐゴシック"/>
      <family val="3"/>
      <charset val="128"/>
    </font>
    <font>
      <sz val="9"/>
      <name val="ＭＳ Ｐゴシック"/>
      <family val="3"/>
      <charset val="128"/>
    </font>
    <font>
      <sz val="10"/>
      <name val="ＭＳ Ｐゴシック"/>
      <family val="3"/>
      <charset val="128"/>
    </font>
    <font>
      <u/>
      <sz val="9.35"/>
      <color indexed="12"/>
      <name val="ＭＳ Ｐゴシック"/>
      <family val="3"/>
      <charset val="128"/>
    </font>
    <font>
      <sz val="10"/>
      <name val="ＭＳ 明朝"/>
      <family val="1"/>
      <charset val="128"/>
    </font>
    <font>
      <b/>
      <sz val="11"/>
      <name val="ＭＳ Ｐゴシック"/>
      <family val="3"/>
      <charset val="128"/>
    </font>
    <font>
      <sz val="16"/>
      <name val="ＭＳ Ｐゴシック"/>
      <family val="3"/>
      <charset val="128"/>
    </font>
    <font>
      <sz val="11"/>
      <name val="メイリオ"/>
      <family val="3"/>
      <charset val="128"/>
    </font>
    <font>
      <sz val="20"/>
      <name val="メイリオ"/>
      <family val="3"/>
      <charset val="128"/>
    </font>
    <font>
      <sz val="9"/>
      <name val="メイリオ"/>
      <family val="3"/>
      <charset val="128"/>
    </font>
    <font>
      <sz val="10"/>
      <name val="メイリオ"/>
      <family val="3"/>
      <charset val="128"/>
    </font>
    <font>
      <b/>
      <sz val="16"/>
      <name val="メイリオ"/>
      <family val="3"/>
      <charset val="128"/>
    </font>
    <font>
      <b/>
      <sz val="11"/>
      <name val="メイリオ"/>
      <family val="3"/>
      <charset val="128"/>
    </font>
    <font>
      <sz val="26"/>
      <name val="ＭＳ Ｐゴシック"/>
      <family val="3"/>
      <charset val="128"/>
    </font>
    <font>
      <b/>
      <sz val="18"/>
      <name val="ＭＳ Ｐゴシック"/>
      <family val="3"/>
      <charset val="128"/>
    </font>
    <font>
      <b/>
      <sz val="12"/>
      <name val="ＭＳ Ｐゴシック"/>
      <family val="3"/>
      <charset val="128"/>
    </font>
    <font>
      <b/>
      <sz val="14"/>
      <name val="ＭＳ Ｐゴシック"/>
      <family val="3"/>
      <charset val="128"/>
    </font>
    <font>
      <sz val="14"/>
      <name val="ＭＳ Ｐゴシック"/>
      <family val="3"/>
      <charset val="128"/>
    </font>
    <font>
      <sz val="11"/>
      <color theme="0"/>
      <name val="ＭＳ Ｐゴシック"/>
      <family val="3"/>
      <charset val="128"/>
      <scheme val="minor"/>
    </font>
    <font>
      <sz val="11"/>
      <color rgb="FF0070C0"/>
      <name val="メイリオ"/>
      <family val="3"/>
      <charset val="128"/>
    </font>
    <font>
      <sz val="10"/>
      <color theme="7"/>
      <name val="メイリオ"/>
      <family val="3"/>
      <charset val="128"/>
    </font>
    <font>
      <sz val="14"/>
      <color theme="0" tint="-0.34998626667073579"/>
      <name val="メイリオ"/>
      <family val="3"/>
      <charset val="128"/>
    </font>
    <font>
      <sz val="12"/>
      <color theme="1"/>
      <name val="ＭＳ Ｐゴシック"/>
      <family val="3"/>
      <charset val="128"/>
      <scheme val="minor"/>
    </font>
    <font>
      <sz val="18"/>
      <color rgb="FFFF0000"/>
      <name val="ＭＳ Ｐゴシック"/>
      <family val="3"/>
      <charset val="128"/>
    </font>
    <font>
      <sz val="11"/>
      <color rgb="FFFF0000"/>
      <name val="ＭＳ Ｐゴシック"/>
      <family val="3"/>
      <charset val="128"/>
    </font>
    <font>
      <sz val="11"/>
      <color indexed="17"/>
      <name val="ＭＳ Ｐゴシック"/>
      <family val="3"/>
      <charset val="128"/>
    </font>
    <font>
      <sz val="6"/>
      <color indexed="17"/>
      <name val="ＭＳ Ｐゴシック"/>
      <family val="3"/>
      <charset val="128"/>
    </font>
    <font>
      <sz val="10"/>
      <color indexed="17"/>
      <name val="ＭＳ Ｐゴシック"/>
      <family val="3"/>
      <charset val="128"/>
    </font>
    <font>
      <sz val="11"/>
      <color indexed="58"/>
      <name val="ＭＳ Ｐゴシック"/>
      <family val="3"/>
      <charset val="128"/>
    </font>
    <font>
      <sz val="10"/>
      <color indexed="58"/>
      <name val="ＭＳ Ｐゴシック"/>
      <family val="3"/>
      <charset val="128"/>
    </font>
    <font>
      <b/>
      <sz val="12"/>
      <color indexed="58"/>
      <name val="ＭＳ Ｐゴシック"/>
      <family val="3"/>
      <charset val="128"/>
    </font>
    <font>
      <sz val="12"/>
      <color indexed="17"/>
      <name val="ＭＳ Ｐゴシック"/>
      <family val="3"/>
      <charset val="128"/>
    </font>
    <font>
      <sz val="9"/>
      <color indexed="58"/>
      <name val="ＭＳ Ｐゴシック"/>
      <family val="3"/>
      <charset val="128"/>
    </font>
    <font>
      <sz val="12"/>
      <color indexed="58"/>
      <name val="ＭＳ Ｐゴシック"/>
      <family val="3"/>
      <charset val="128"/>
    </font>
    <font>
      <sz val="8"/>
      <color indexed="58"/>
      <name val="ＭＳ Ｐゴシック"/>
      <family val="3"/>
      <charset val="128"/>
    </font>
    <font>
      <sz val="16"/>
      <color indexed="58"/>
      <name val="ＭＳ Ｐゴシック"/>
      <family val="3"/>
      <charset val="128"/>
    </font>
    <font>
      <b/>
      <sz val="16"/>
      <color indexed="58"/>
      <name val="ＭＳ Ｐゴシック"/>
      <family val="3"/>
      <charset val="128"/>
    </font>
    <font>
      <sz val="9"/>
      <color indexed="17"/>
      <name val="ＭＳ Ｐゴシック"/>
      <family val="3"/>
      <charset val="128"/>
    </font>
    <font>
      <b/>
      <sz val="14"/>
      <color indexed="17"/>
      <name val="ＭＳ Ｐゴシック"/>
      <family val="3"/>
      <charset val="128"/>
    </font>
    <font>
      <sz val="11"/>
      <color rgb="FF006600"/>
      <name val="ＭＳ Ｐゴシック"/>
      <family val="3"/>
      <charset val="128"/>
    </font>
    <font>
      <sz val="9"/>
      <color rgb="FF006600"/>
      <name val="ＭＳ Ｐゴシック"/>
      <family val="3"/>
      <charset val="128"/>
    </font>
    <font>
      <b/>
      <sz val="16"/>
      <name val="ＭＳ Ｐゴシック"/>
      <family val="3"/>
      <charset val="128"/>
    </font>
    <font>
      <sz val="11"/>
      <name val="ＪＳ明朝"/>
      <family val="1"/>
      <charset val="128"/>
    </font>
    <font>
      <sz val="6"/>
      <name val="ＪＳ明朝"/>
      <family val="1"/>
      <charset val="128"/>
    </font>
    <font>
      <sz val="8"/>
      <name val="ＭＳ Ｐゴシック"/>
      <family val="3"/>
      <charset val="128"/>
    </font>
    <font>
      <sz val="14"/>
      <color indexed="17"/>
      <name val="ＭＳ Ｐゴシック"/>
      <family val="3"/>
      <charset val="128"/>
    </font>
    <font>
      <sz val="7"/>
      <color indexed="17"/>
      <name val="ＭＳ Ｐゴシック"/>
      <family val="3"/>
      <charset val="128"/>
    </font>
    <font>
      <sz val="7"/>
      <name val="ＭＳ Ｐゴシック"/>
      <family val="3"/>
      <charset val="128"/>
    </font>
    <font>
      <sz val="9"/>
      <color rgb="FF006600"/>
      <name val="Wingdings"/>
      <charset val="2"/>
    </font>
    <font>
      <b/>
      <sz val="12"/>
      <color indexed="17"/>
      <name val="ＭＳ Ｐゴシック"/>
      <family val="3"/>
      <charset val="128"/>
    </font>
    <font>
      <sz val="16"/>
      <color indexed="17"/>
      <name val="ＭＳ Ｐゴシック"/>
      <family val="3"/>
      <charset val="128"/>
    </font>
    <font>
      <b/>
      <sz val="16"/>
      <color indexed="17"/>
      <name val="ＭＳ Ｐゴシック"/>
      <family val="3"/>
      <charset val="128"/>
    </font>
    <font>
      <sz val="11"/>
      <name val="ＪＳ明朝"/>
      <family val="1"/>
    </font>
    <font>
      <sz val="11"/>
      <name val="ＭＳ Ｐゴシック"/>
      <family val="3"/>
    </font>
    <font>
      <sz val="9"/>
      <name val="ＭＳ Ｐゴシック"/>
      <family val="3"/>
    </font>
    <font>
      <sz val="6"/>
      <name val="ＪＳ明朝"/>
      <family val="1"/>
    </font>
    <font>
      <sz val="10"/>
      <name val="ＭＳ Ｐゴシック"/>
      <family val="3"/>
    </font>
    <font>
      <sz val="13"/>
      <name val="ＭＳ Ｐゴシック"/>
      <family val="3"/>
    </font>
    <font>
      <sz val="8"/>
      <name val="ＭＳ Ｐゴシック"/>
      <family val="3"/>
    </font>
    <font>
      <sz val="6"/>
      <name val="ＭＳ Ｐ明朝"/>
      <family val="1"/>
      <charset val="128"/>
    </font>
    <font>
      <b/>
      <sz val="15"/>
      <name val="ＭＳ Ｐゴシック"/>
      <family val="3"/>
    </font>
    <font>
      <b/>
      <sz val="11"/>
      <color theme="0"/>
      <name val="ＭＳ Ｐゴシック"/>
      <family val="3"/>
      <charset val="128"/>
    </font>
    <font>
      <sz val="11"/>
      <color theme="1"/>
      <name val="ＭＳ Ｐゴシック"/>
      <family val="3"/>
      <charset val="128"/>
    </font>
    <font>
      <sz val="9"/>
      <color theme="1"/>
      <name val="ＭＳ Ｐゴシック"/>
      <family val="3"/>
      <charset val="128"/>
    </font>
    <font>
      <sz val="10"/>
      <color theme="1"/>
      <name val="ＭＳ Ｐゴシック"/>
      <family val="3"/>
      <charset val="128"/>
    </font>
    <font>
      <sz val="11"/>
      <color rgb="FFFF0000"/>
      <name val="ＭＳ Ｐゴシック"/>
      <family val="3"/>
      <charset val="128"/>
      <scheme val="minor"/>
    </font>
    <font>
      <sz val="6"/>
      <name val="ＭＳ Ｐゴシック"/>
      <family val="2"/>
      <charset val="128"/>
      <scheme val="minor"/>
    </font>
    <font>
      <sz val="11"/>
      <color theme="1"/>
      <name val="MS PGothic"/>
      <family val="3"/>
      <charset val="128"/>
    </font>
    <font>
      <sz val="6"/>
      <name val="ＭＳ Ｐゴシック"/>
      <family val="3"/>
      <charset val="128"/>
      <scheme val="minor"/>
    </font>
    <font>
      <b/>
      <sz val="11"/>
      <color rgb="FFFF0000"/>
      <name val="ＭＳ Ｐゴシック"/>
      <family val="3"/>
      <charset val="128"/>
    </font>
    <font>
      <b/>
      <sz val="16"/>
      <color rgb="FFFF0000"/>
      <name val="ＭＳ Ｐゴシック"/>
      <family val="3"/>
      <charset val="128"/>
    </font>
    <font>
      <sz val="11"/>
      <name val="Calibri"/>
      <family val="2"/>
    </font>
  </fonts>
  <fills count="11">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theme="0" tint="-0.14999847407452621"/>
        <bgColor indexed="64"/>
      </patternFill>
    </fill>
    <fill>
      <patternFill patternType="solid">
        <fgColor indexed="42"/>
        <bgColor indexed="64"/>
      </patternFill>
    </fill>
    <fill>
      <patternFill patternType="solid">
        <fgColor theme="0"/>
        <bgColor theme="4" tint="0.79998168889431442"/>
      </patternFill>
    </fill>
    <fill>
      <patternFill patternType="solid">
        <fgColor theme="0"/>
        <bgColor indexed="64"/>
      </patternFill>
    </fill>
    <fill>
      <patternFill patternType="solid">
        <fgColor theme="1"/>
        <bgColor theme="4"/>
      </patternFill>
    </fill>
    <fill>
      <patternFill patternType="solid">
        <fgColor theme="1"/>
        <bgColor indexed="64"/>
      </patternFill>
    </fill>
    <fill>
      <patternFill patternType="solid">
        <fgColor theme="0"/>
        <bgColor theme="0"/>
      </patternFill>
    </fill>
  </fills>
  <borders count="209">
    <border>
      <left/>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bottom style="double">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rgb="FFFF0000"/>
      </left>
      <right/>
      <top style="thick">
        <color rgb="FFFF0000"/>
      </top>
      <bottom/>
      <diagonal/>
    </border>
    <border>
      <left/>
      <right/>
      <top style="thick">
        <color rgb="FFFF0000"/>
      </top>
      <bottom/>
      <diagonal/>
    </border>
    <border>
      <left/>
      <right style="thick">
        <color rgb="FFFF0000"/>
      </right>
      <top style="thick">
        <color rgb="FFFF0000"/>
      </top>
      <bottom/>
      <diagonal/>
    </border>
    <border>
      <left style="thick">
        <color rgb="FFFF0000"/>
      </left>
      <right/>
      <top/>
      <bottom/>
      <diagonal/>
    </border>
    <border>
      <left/>
      <right style="thick">
        <color rgb="FFFF0000"/>
      </right>
      <top/>
      <bottom/>
      <diagonal/>
    </border>
    <border>
      <left style="thick">
        <color rgb="FFFF0000"/>
      </left>
      <right/>
      <top/>
      <bottom style="thick">
        <color rgb="FFFF0000"/>
      </bottom>
      <diagonal/>
    </border>
    <border>
      <left/>
      <right/>
      <top/>
      <bottom style="thick">
        <color rgb="FFFF0000"/>
      </bottom>
      <diagonal/>
    </border>
    <border>
      <left/>
      <right style="thick">
        <color rgb="FFFF0000"/>
      </right>
      <top/>
      <bottom style="thick">
        <color rgb="FFFF0000"/>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medium">
        <color theme="0" tint="-0.34998626667073579"/>
      </right>
      <top style="medium">
        <color theme="0" tint="-0.34998626667073579"/>
      </top>
      <bottom style="medium">
        <color theme="0" tint="-0.34998626667073579"/>
      </bottom>
      <diagonal/>
    </border>
    <border>
      <left style="medium">
        <color theme="0" tint="-0.34998626667073579"/>
      </left>
      <right/>
      <top/>
      <bottom/>
      <diagonal/>
    </border>
    <border>
      <left/>
      <right/>
      <top/>
      <bottom style="medium">
        <color theme="0" tint="-0.34998626667073579"/>
      </bottom>
      <diagonal/>
    </border>
    <border>
      <left style="thin">
        <color theme="0" tint="-0.34998626667073579"/>
      </left>
      <right style="thin">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medium">
        <color theme="0" tint="-0.34998626667073579"/>
      </left>
      <right style="thin">
        <color theme="0" tint="-0.34998626667073579"/>
      </right>
      <top style="medium">
        <color theme="0" tint="-0.34998626667073579"/>
      </top>
      <bottom style="thin">
        <color theme="0" tint="-0.34998626667073579"/>
      </bottom>
      <diagonal/>
    </border>
    <border>
      <left/>
      <right/>
      <top style="medium">
        <color theme="0" tint="-0.34998626667073579"/>
      </top>
      <bottom style="thin">
        <color theme="0" tint="-0.34998626667073579"/>
      </bottom>
      <diagonal/>
    </border>
    <border>
      <left style="medium">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0" tint="-0.34998626667073579"/>
      </right>
      <top style="thin">
        <color theme="0" tint="-0.34998626667073579"/>
      </top>
      <bottom style="medium">
        <color theme="0" tint="-0.34998626667073579"/>
      </bottom>
      <diagonal/>
    </border>
    <border>
      <left/>
      <right/>
      <top style="thin">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medium">
        <color theme="0" tint="-0.34998626667073579"/>
      </left>
      <right/>
      <top style="thin">
        <color theme="0" tint="-0.34998626667073579"/>
      </top>
      <bottom style="thin">
        <color theme="0" tint="-0.34998626667073579"/>
      </bottom>
      <diagonal/>
    </border>
    <border>
      <left/>
      <right style="thin">
        <color indexed="58"/>
      </right>
      <top style="thin">
        <color indexed="58"/>
      </top>
      <bottom style="thin">
        <color indexed="58"/>
      </bottom>
      <diagonal/>
    </border>
    <border>
      <left/>
      <right/>
      <top style="thin">
        <color indexed="58"/>
      </top>
      <bottom style="thin">
        <color indexed="58"/>
      </bottom>
      <diagonal/>
    </border>
    <border>
      <left style="thin">
        <color indexed="58"/>
      </left>
      <right/>
      <top style="thin">
        <color indexed="58"/>
      </top>
      <bottom style="thin">
        <color indexed="58"/>
      </bottom>
      <diagonal/>
    </border>
    <border>
      <left style="thin">
        <color indexed="58"/>
      </left>
      <right style="thin">
        <color indexed="58"/>
      </right>
      <top style="thin">
        <color indexed="58"/>
      </top>
      <bottom style="thin">
        <color indexed="58"/>
      </bottom>
      <diagonal/>
    </border>
    <border>
      <left/>
      <right style="thin">
        <color indexed="58"/>
      </right>
      <top/>
      <bottom style="thin">
        <color indexed="58"/>
      </bottom>
      <diagonal/>
    </border>
    <border>
      <left/>
      <right/>
      <top/>
      <bottom style="thin">
        <color indexed="58"/>
      </bottom>
      <diagonal/>
    </border>
    <border>
      <left style="thin">
        <color indexed="58"/>
      </left>
      <right/>
      <top/>
      <bottom style="thin">
        <color indexed="58"/>
      </bottom>
      <diagonal/>
    </border>
    <border>
      <left/>
      <right style="thin">
        <color indexed="58"/>
      </right>
      <top style="thin">
        <color indexed="58"/>
      </top>
      <bottom/>
      <diagonal/>
    </border>
    <border>
      <left/>
      <right/>
      <top style="thin">
        <color indexed="58"/>
      </top>
      <bottom/>
      <diagonal/>
    </border>
    <border>
      <left style="thin">
        <color indexed="58"/>
      </left>
      <right/>
      <top style="thin">
        <color indexed="58"/>
      </top>
      <bottom/>
      <diagonal/>
    </border>
    <border>
      <left/>
      <right style="medium">
        <color indexed="58"/>
      </right>
      <top/>
      <bottom style="medium">
        <color indexed="58"/>
      </bottom>
      <diagonal/>
    </border>
    <border>
      <left/>
      <right/>
      <top/>
      <bottom style="medium">
        <color indexed="58"/>
      </bottom>
      <diagonal/>
    </border>
    <border>
      <left style="medium">
        <color indexed="58"/>
      </left>
      <right/>
      <top/>
      <bottom style="medium">
        <color indexed="58"/>
      </bottom>
      <diagonal/>
    </border>
    <border>
      <left/>
      <right style="medium">
        <color indexed="58"/>
      </right>
      <top/>
      <bottom/>
      <diagonal/>
    </border>
    <border>
      <left style="medium">
        <color indexed="58"/>
      </left>
      <right/>
      <top/>
      <bottom/>
      <diagonal/>
    </border>
    <border>
      <left/>
      <right style="thin">
        <color indexed="64"/>
      </right>
      <top/>
      <bottom/>
      <diagonal/>
    </border>
    <border>
      <left style="thin">
        <color indexed="58"/>
      </left>
      <right style="thin">
        <color indexed="58"/>
      </right>
      <top/>
      <bottom style="thin">
        <color indexed="58"/>
      </bottom>
      <diagonal/>
    </border>
    <border>
      <left style="thin">
        <color indexed="58"/>
      </left>
      <right style="thin">
        <color indexed="58"/>
      </right>
      <top style="thin">
        <color indexed="58"/>
      </top>
      <bottom/>
      <diagonal/>
    </border>
    <border>
      <left/>
      <right style="thin">
        <color indexed="58"/>
      </right>
      <top/>
      <bottom/>
      <diagonal/>
    </border>
    <border>
      <left style="thin">
        <color indexed="58"/>
      </left>
      <right/>
      <top/>
      <bottom/>
      <diagonal/>
    </border>
    <border diagonalUp="1">
      <left/>
      <right style="thin">
        <color indexed="58"/>
      </right>
      <top/>
      <bottom style="thin">
        <color indexed="58"/>
      </bottom>
      <diagonal style="thin">
        <color indexed="58"/>
      </diagonal>
    </border>
    <border diagonalUp="1">
      <left/>
      <right/>
      <top/>
      <bottom style="thin">
        <color indexed="58"/>
      </bottom>
      <diagonal style="thin">
        <color indexed="58"/>
      </diagonal>
    </border>
    <border diagonalUp="1">
      <left style="thin">
        <color indexed="58"/>
      </left>
      <right/>
      <top/>
      <bottom style="thin">
        <color indexed="58"/>
      </bottom>
      <diagonal style="thin">
        <color indexed="58"/>
      </diagonal>
    </border>
    <border diagonalUp="1">
      <left/>
      <right style="thin">
        <color indexed="58"/>
      </right>
      <top style="thin">
        <color indexed="58"/>
      </top>
      <bottom/>
      <diagonal style="thin">
        <color indexed="58"/>
      </diagonal>
    </border>
    <border diagonalUp="1">
      <left/>
      <right/>
      <top style="thin">
        <color indexed="58"/>
      </top>
      <bottom/>
      <diagonal style="thin">
        <color indexed="58"/>
      </diagonal>
    </border>
    <border diagonalUp="1">
      <left style="thin">
        <color indexed="58"/>
      </left>
      <right/>
      <top style="thin">
        <color indexed="58"/>
      </top>
      <bottom/>
      <diagonal style="thin">
        <color indexed="58"/>
      </diagonal>
    </border>
    <border>
      <left/>
      <right style="medium">
        <color indexed="58"/>
      </right>
      <top style="medium">
        <color indexed="58"/>
      </top>
      <bottom/>
      <diagonal/>
    </border>
    <border>
      <left/>
      <right/>
      <top style="medium">
        <color indexed="58"/>
      </top>
      <bottom/>
      <diagonal/>
    </border>
    <border>
      <left style="medium">
        <color indexed="58"/>
      </left>
      <right/>
      <top style="medium">
        <color indexed="58"/>
      </top>
      <bottom/>
      <diagonal/>
    </border>
    <border>
      <left/>
      <right style="thin">
        <color indexed="58"/>
      </right>
      <top style="thin">
        <color indexed="58"/>
      </top>
      <bottom style="medium">
        <color indexed="58"/>
      </bottom>
      <diagonal/>
    </border>
    <border>
      <left/>
      <right/>
      <top style="thin">
        <color indexed="58"/>
      </top>
      <bottom style="medium">
        <color indexed="58"/>
      </bottom>
      <diagonal/>
    </border>
    <border>
      <left style="thin">
        <color indexed="58"/>
      </left>
      <right/>
      <top style="thin">
        <color indexed="58"/>
      </top>
      <bottom style="medium">
        <color indexed="58"/>
      </bottom>
      <diagonal/>
    </border>
    <border>
      <left/>
      <right style="thin">
        <color indexed="17"/>
      </right>
      <top style="thin">
        <color indexed="17"/>
      </top>
      <bottom style="thin">
        <color indexed="17"/>
      </bottom>
      <diagonal/>
    </border>
    <border>
      <left/>
      <right/>
      <top style="thin">
        <color indexed="17"/>
      </top>
      <bottom style="thin">
        <color indexed="17"/>
      </bottom>
      <diagonal/>
    </border>
    <border>
      <left style="thin">
        <color indexed="17"/>
      </left>
      <right/>
      <top style="thin">
        <color indexed="17"/>
      </top>
      <bottom style="thin">
        <color indexed="17"/>
      </bottom>
      <diagonal/>
    </border>
    <border>
      <left/>
      <right style="thin">
        <color indexed="17"/>
      </right>
      <top/>
      <bottom style="thin">
        <color indexed="17"/>
      </bottom>
      <diagonal/>
    </border>
    <border>
      <left/>
      <right/>
      <top/>
      <bottom style="thin">
        <color indexed="17"/>
      </bottom>
      <diagonal/>
    </border>
    <border>
      <left style="thin">
        <color indexed="17"/>
      </left>
      <right/>
      <top/>
      <bottom style="thin">
        <color indexed="17"/>
      </bottom>
      <diagonal/>
    </border>
    <border>
      <left style="thin">
        <color indexed="17"/>
      </left>
      <right style="thin">
        <color indexed="17"/>
      </right>
      <top style="thin">
        <color indexed="17"/>
      </top>
      <bottom style="thin">
        <color indexed="17"/>
      </bottom>
      <diagonal/>
    </border>
    <border>
      <left/>
      <right style="thin">
        <color indexed="17"/>
      </right>
      <top/>
      <bottom/>
      <diagonal/>
    </border>
    <border>
      <left style="thin">
        <color indexed="17"/>
      </left>
      <right/>
      <top/>
      <bottom/>
      <diagonal/>
    </border>
    <border>
      <left/>
      <right style="thin">
        <color indexed="17"/>
      </right>
      <top style="thin">
        <color indexed="17"/>
      </top>
      <bottom/>
      <diagonal/>
    </border>
    <border>
      <left/>
      <right/>
      <top style="thin">
        <color indexed="17"/>
      </top>
      <bottom/>
      <diagonal/>
    </border>
    <border>
      <left style="thin">
        <color indexed="17"/>
      </left>
      <right/>
      <top style="thin">
        <color indexed="17"/>
      </top>
      <bottom/>
      <diagonal/>
    </border>
    <border diagonalUp="1" diagonalDown="1">
      <left style="thin">
        <color indexed="17"/>
      </left>
      <right style="thin">
        <color indexed="17"/>
      </right>
      <top style="thin">
        <color indexed="17"/>
      </top>
      <bottom style="thin">
        <color indexed="17"/>
      </bottom>
      <diagonal style="thin">
        <color indexed="17"/>
      </diagonal>
    </border>
    <border>
      <left/>
      <right style="thin">
        <color indexed="17"/>
      </right>
      <top style="medium">
        <color indexed="17"/>
      </top>
      <bottom style="thin">
        <color indexed="17"/>
      </bottom>
      <diagonal/>
    </border>
    <border>
      <left/>
      <right/>
      <top style="medium">
        <color indexed="17"/>
      </top>
      <bottom style="thin">
        <color indexed="17"/>
      </bottom>
      <diagonal/>
    </border>
    <border>
      <left style="thin">
        <color indexed="17"/>
      </left>
      <right/>
      <top style="medium">
        <color indexed="17"/>
      </top>
      <bottom style="thin">
        <color indexed="17"/>
      </bottom>
      <diagonal/>
    </border>
    <border>
      <left style="medium">
        <color indexed="17"/>
      </left>
      <right/>
      <top/>
      <bottom/>
      <diagonal/>
    </border>
    <border>
      <left/>
      <right style="medium">
        <color indexed="17"/>
      </right>
      <top/>
      <bottom style="medium">
        <color indexed="17"/>
      </bottom>
      <diagonal/>
    </border>
    <border>
      <left/>
      <right/>
      <top/>
      <bottom style="medium">
        <color indexed="17"/>
      </bottom>
      <diagonal/>
    </border>
    <border>
      <left style="medium">
        <color indexed="17"/>
      </left>
      <right/>
      <top/>
      <bottom style="medium">
        <color indexed="17"/>
      </bottom>
      <diagonal/>
    </border>
    <border>
      <left/>
      <right style="medium">
        <color indexed="17"/>
      </right>
      <top/>
      <bottom/>
      <diagonal/>
    </border>
    <border>
      <left style="thin">
        <color indexed="17"/>
      </left>
      <right style="thin">
        <color indexed="17"/>
      </right>
      <top/>
      <bottom style="thin">
        <color indexed="17"/>
      </bottom>
      <diagonal/>
    </border>
    <border>
      <left style="thin">
        <color indexed="17"/>
      </left>
      <right style="thin">
        <color indexed="17"/>
      </right>
      <top/>
      <bottom/>
      <diagonal/>
    </border>
    <border>
      <left style="thin">
        <color indexed="17"/>
      </left>
      <right style="thin">
        <color indexed="17"/>
      </right>
      <top style="thin">
        <color indexed="17"/>
      </top>
      <bottom/>
      <diagonal/>
    </border>
    <border diagonalUp="1">
      <left/>
      <right style="thin">
        <color indexed="17"/>
      </right>
      <top/>
      <bottom style="thin">
        <color indexed="17"/>
      </bottom>
      <diagonal style="thin">
        <color indexed="17"/>
      </diagonal>
    </border>
    <border diagonalUp="1">
      <left/>
      <right/>
      <top/>
      <bottom style="thin">
        <color indexed="17"/>
      </bottom>
      <diagonal style="thin">
        <color indexed="17"/>
      </diagonal>
    </border>
    <border diagonalUp="1">
      <left style="thin">
        <color indexed="17"/>
      </left>
      <right/>
      <top/>
      <bottom style="thin">
        <color indexed="17"/>
      </bottom>
      <diagonal style="thin">
        <color indexed="17"/>
      </diagonal>
    </border>
    <border diagonalUp="1">
      <left/>
      <right style="thin">
        <color indexed="17"/>
      </right>
      <top style="thin">
        <color indexed="17"/>
      </top>
      <bottom/>
      <diagonal style="thin">
        <color indexed="17"/>
      </diagonal>
    </border>
    <border diagonalUp="1">
      <left/>
      <right/>
      <top style="thin">
        <color indexed="17"/>
      </top>
      <bottom/>
      <diagonal style="thin">
        <color indexed="17"/>
      </diagonal>
    </border>
    <border diagonalUp="1">
      <left style="thin">
        <color indexed="17"/>
      </left>
      <right/>
      <top style="thin">
        <color indexed="17"/>
      </top>
      <bottom/>
      <diagonal style="thin">
        <color indexed="17"/>
      </diagonal>
    </border>
    <border>
      <left/>
      <right/>
      <top style="medium">
        <color indexed="17"/>
      </top>
      <bottom/>
      <diagonal/>
    </border>
    <border>
      <left style="medium">
        <color indexed="17"/>
      </left>
      <right/>
      <top style="medium">
        <color indexed="17"/>
      </top>
      <bottom/>
      <diagonal/>
    </border>
    <border>
      <left/>
      <right style="medium">
        <color indexed="17"/>
      </right>
      <top style="medium">
        <color indexed="17"/>
      </top>
      <bottom style="thin">
        <color indexed="17"/>
      </bottom>
      <diagonal/>
    </border>
    <border>
      <left style="medium">
        <color indexed="17"/>
      </left>
      <right/>
      <top style="medium">
        <color indexed="17"/>
      </top>
      <bottom style="thin">
        <color indexed="17"/>
      </bottom>
      <diagonal/>
    </border>
    <border>
      <left/>
      <right/>
      <top/>
      <bottom style="mediumDashDotDot">
        <color indexed="64"/>
      </bottom>
      <diagonal/>
    </border>
    <border>
      <left style="thin">
        <color indexed="64"/>
      </left>
      <right/>
      <top/>
      <bottom/>
      <diagonal/>
    </border>
    <border>
      <left/>
      <right style="thin">
        <color indexed="64"/>
      </right>
      <top style="dashed">
        <color indexed="64"/>
      </top>
      <bottom/>
      <diagonal/>
    </border>
    <border>
      <left/>
      <right/>
      <top style="dashed">
        <color indexed="64"/>
      </top>
      <bottom/>
      <diagonal/>
    </border>
    <border>
      <left style="thin">
        <color indexed="64"/>
      </left>
      <right/>
      <top style="dashed">
        <color indexed="64"/>
      </top>
      <bottom/>
      <diagonal/>
    </border>
    <border>
      <left/>
      <right style="thin">
        <color indexed="64"/>
      </right>
      <top/>
      <bottom style="dashed">
        <color indexed="64"/>
      </bottom>
      <diagonal/>
    </border>
    <border>
      <left/>
      <right/>
      <top/>
      <bottom style="dashed">
        <color indexed="64"/>
      </bottom>
      <diagonal/>
    </border>
    <border>
      <left style="thin">
        <color indexed="64"/>
      </left>
      <right/>
      <top/>
      <bottom style="dashed">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dashed">
        <color indexed="64"/>
      </left>
      <right/>
      <top/>
      <bottom style="medium">
        <color indexed="64"/>
      </bottom>
      <diagonal/>
    </border>
    <border>
      <left style="medium">
        <color indexed="64"/>
      </left>
      <right style="medium">
        <color indexed="64"/>
      </right>
      <top/>
      <bottom/>
      <diagonal/>
    </border>
    <border>
      <left style="dashed">
        <color indexed="64"/>
      </left>
      <right/>
      <top/>
      <bottom/>
      <diagonal/>
    </border>
    <border>
      <left style="medium">
        <color indexed="64"/>
      </left>
      <right style="thin">
        <color indexed="64"/>
      </right>
      <top/>
      <bottom/>
      <diagonal/>
    </border>
    <border>
      <left style="dashed">
        <color indexed="64"/>
      </left>
      <right/>
      <top style="thin">
        <color indexed="64"/>
      </top>
      <bottom/>
      <diagonal/>
    </border>
    <border>
      <left style="medium">
        <color indexed="64"/>
      </left>
      <right style="thin">
        <color indexed="64"/>
      </right>
      <top style="thin">
        <color indexed="64"/>
      </top>
      <bottom/>
      <diagonal/>
    </border>
    <border>
      <left style="dashed">
        <color indexed="64"/>
      </left>
      <right/>
      <top/>
      <bottom style="thin">
        <color indexed="64"/>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double">
        <color indexed="64"/>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17"/>
      </left>
      <right style="medium">
        <color indexed="17"/>
      </right>
      <top/>
      <bottom/>
      <diagonal/>
    </border>
    <border>
      <left style="medium">
        <color indexed="64"/>
      </left>
      <right style="thin">
        <color indexed="64"/>
      </right>
      <top style="medium">
        <color indexed="64"/>
      </top>
      <bottom style="thin">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style="medium">
        <color indexed="64"/>
      </left>
      <right style="medium">
        <color indexed="64"/>
      </right>
      <top style="medium">
        <color indexed="64"/>
      </top>
      <bottom style="thin">
        <color indexed="64"/>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rgb="FF000000"/>
      </left>
      <right style="thin">
        <color rgb="FF000000"/>
      </right>
      <top style="thin">
        <color rgb="FF000000"/>
      </top>
      <bottom style="thin">
        <color rgb="FF000000"/>
      </bottom>
      <diagonal/>
    </border>
    <border>
      <left style="thin">
        <color indexed="17"/>
      </left>
      <right/>
      <top style="thin">
        <color indexed="64"/>
      </top>
      <bottom style="thin">
        <color indexed="17"/>
      </bottom>
      <diagonal/>
    </border>
    <border>
      <left/>
      <right/>
      <top style="thin">
        <color indexed="64"/>
      </top>
      <bottom style="thin">
        <color indexed="17"/>
      </bottom>
      <diagonal/>
    </border>
    <border>
      <left/>
      <right style="thin">
        <color indexed="17"/>
      </right>
      <top style="thin">
        <color indexed="64"/>
      </top>
      <bottom style="thin">
        <color indexed="17"/>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4">
    <xf numFmtId="0" fontId="0" fillId="0" borderId="0">
      <alignment vertical="center"/>
    </xf>
    <xf numFmtId="0" fontId="25" fillId="2" borderId="0" applyNumberFormat="0" applyBorder="0" applyAlignment="0" applyProtection="0">
      <alignment vertical="center"/>
    </xf>
    <xf numFmtId="0" fontId="10" fillId="0" borderId="0" applyNumberFormat="0" applyFill="0" applyBorder="0" applyAlignment="0" applyProtection="0">
      <alignment vertical="top"/>
      <protection locked="0"/>
    </xf>
    <xf numFmtId="38" fontId="2" fillId="0" borderId="0" applyFont="0" applyFill="0" applyBorder="0" applyAlignment="0" applyProtection="0">
      <alignment vertical="center"/>
    </xf>
    <xf numFmtId="6" fontId="2" fillId="0" borderId="0" applyFont="0" applyFill="0" applyBorder="0" applyAlignment="0" applyProtection="0">
      <alignment vertical="center"/>
    </xf>
    <xf numFmtId="0" fontId="11" fillId="0" borderId="0"/>
    <xf numFmtId="0" fontId="2" fillId="0" borderId="0">
      <alignment vertical="center"/>
    </xf>
    <xf numFmtId="6" fontId="2" fillId="0" borderId="0" applyFont="0" applyFill="0" applyBorder="0" applyAlignment="0" applyProtection="0">
      <alignment vertical="center"/>
    </xf>
    <xf numFmtId="0" fontId="2" fillId="0" borderId="0"/>
    <xf numFmtId="0" fontId="2" fillId="0" borderId="0"/>
    <xf numFmtId="0" fontId="2" fillId="0" borderId="0"/>
    <xf numFmtId="0" fontId="49" fillId="0" borderId="0">
      <alignment vertical="center"/>
    </xf>
    <xf numFmtId="0" fontId="2" fillId="0" borderId="0"/>
    <xf numFmtId="0" fontId="59" fillId="0" borderId="0">
      <alignment vertical="center"/>
    </xf>
  </cellStyleXfs>
  <cellXfs count="954">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0" xfId="0" applyAlignment="1"/>
    <xf numFmtId="0" fontId="4" fillId="0" borderId="0" xfId="0" applyFont="1" applyAlignment="1">
      <alignment horizontal="right" vertical="center"/>
    </xf>
    <xf numFmtId="0" fontId="0" fillId="0" borderId="0" xfId="0" applyAlignment="1">
      <alignment wrapText="1"/>
    </xf>
    <xf numFmtId="0" fontId="4" fillId="0" borderId="0" xfId="0" applyFont="1" applyAlignment="1">
      <alignment horizontal="left"/>
    </xf>
    <xf numFmtId="0" fontId="6" fillId="0" borderId="0" xfId="0" applyFont="1" applyAlignment="1"/>
    <xf numFmtId="0" fontId="7" fillId="0" borderId="0" xfId="0" applyFont="1" applyAlignment="1"/>
    <xf numFmtId="0" fontId="0" fillId="0" borderId="4" xfId="0" applyBorder="1" applyAlignment="1">
      <alignment horizontal="left"/>
    </xf>
    <xf numFmtId="0" fontId="7" fillId="0" borderId="5" xfId="0" applyFont="1" applyBorder="1" applyAlignment="1">
      <alignment horizontal="left"/>
    </xf>
    <xf numFmtId="0" fontId="0" fillId="0" borderId="7" xfId="0" applyBorder="1">
      <alignment vertical="center"/>
    </xf>
    <xf numFmtId="0" fontId="0" fillId="0" borderId="8" xfId="0" applyBorder="1">
      <alignment vertical="center"/>
    </xf>
    <xf numFmtId="176" fontId="0" fillId="0" borderId="2" xfId="0" applyNumberFormat="1" applyBorder="1">
      <alignment vertical="center"/>
    </xf>
    <xf numFmtId="176" fontId="0" fillId="0" borderId="3" xfId="0" applyNumberFormat="1" applyBorder="1">
      <alignment vertical="center"/>
    </xf>
    <xf numFmtId="0" fontId="0" fillId="0" borderId="10" xfId="0" applyBorder="1">
      <alignment vertical="center"/>
    </xf>
    <xf numFmtId="0" fontId="0" fillId="0" borderId="11" xfId="0" applyBorder="1">
      <alignment vertical="center"/>
    </xf>
    <xf numFmtId="38" fontId="0" fillId="0" borderId="0" xfId="4" applyNumberFormat="1" applyFont="1" applyBorder="1">
      <alignment vertical="center"/>
    </xf>
    <xf numFmtId="0" fontId="0" fillId="0" borderId="12" xfId="0" applyBorder="1" applyAlignment="1">
      <alignment horizontal="center" vertical="center"/>
    </xf>
    <xf numFmtId="0" fontId="0" fillId="0" borderId="0" xfId="0" applyAlignment="1">
      <alignment horizontal="left"/>
    </xf>
    <xf numFmtId="0" fontId="9" fillId="0" borderId="0" xfId="0" applyFont="1" applyAlignment="1">
      <alignment horizontal="center" vertical="center" wrapText="1"/>
    </xf>
    <xf numFmtId="176" fontId="0" fillId="0" borderId="13" xfId="0" applyNumberFormat="1" applyBorder="1" applyAlignment="1">
      <alignment horizontal="right" vertical="center"/>
    </xf>
    <xf numFmtId="176" fontId="0" fillId="0" borderId="14" xfId="0" applyNumberFormat="1" applyBorder="1">
      <alignment vertical="center"/>
    </xf>
    <xf numFmtId="0" fontId="0" fillId="0" borderId="14" xfId="0" applyBorder="1">
      <alignment vertical="center"/>
    </xf>
    <xf numFmtId="176" fontId="2" fillId="0" borderId="2" xfId="0" applyNumberFormat="1" applyFont="1" applyBorder="1">
      <alignment vertical="center"/>
    </xf>
    <xf numFmtId="0" fontId="8" fillId="0" borderId="13" xfId="0" applyFont="1" applyBorder="1" applyAlignment="1">
      <alignment vertical="center" shrinkToFit="1"/>
    </xf>
    <xf numFmtId="0" fontId="8" fillId="0" borderId="9" xfId="0" applyFont="1" applyBorder="1" applyAlignment="1">
      <alignment vertical="center" shrinkToFit="1"/>
    </xf>
    <xf numFmtId="176" fontId="2" fillId="0" borderId="3" xfId="0" applyNumberFormat="1" applyFont="1" applyBorder="1">
      <alignment vertical="center"/>
    </xf>
    <xf numFmtId="0" fontId="8" fillId="0" borderId="15" xfId="0" applyFont="1" applyBorder="1" applyAlignment="1">
      <alignment horizontal="right" vertical="center"/>
    </xf>
    <xf numFmtId="0" fontId="8" fillId="0" borderId="16" xfId="0" applyFont="1" applyBorder="1" applyAlignment="1">
      <alignment horizontal="right" vertical="center"/>
    </xf>
    <xf numFmtId="0" fontId="8" fillId="0" borderId="17" xfId="0" applyFont="1" applyBorder="1" applyAlignment="1">
      <alignment horizontal="right" vertical="center"/>
    </xf>
    <xf numFmtId="0" fontId="0" fillId="0" borderId="18" xfId="0" applyBorder="1" applyAlignment="1">
      <alignment horizontal="left" vertical="center" shrinkToFit="1"/>
    </xf>
    <xf numFmtId="0" fontId="0" fillId="0" borderId="19" xfId="0" applyBorder="1" applyAlignment="1">
      <alignment horizontal="left" vertical="center" shrinkToFit="1"/>
    </xf>
    <xf numFmtId="0" fontId="0" fillId="0" borderId="20" xfId="0" applyBorder="1" applyAlignment="1">
      <alignment horizontal="left" vertical="center" shrinkToFit="1"/>
    </xf>
    <xf numFmtId="0" fontId="0" fillId="0" borderId="0" xfId="0" applyAlignment="1">
      <alignment vertical="center" shrinkToFit="1"/>
    </xf>
    <xf numFmtId="176" fontId="0" fillId="0" borderId="9" xfId="0" applyNumberFormat="1" applyBorder="1" applyAlignment="1">
      <alignment horizontal="right" vertical="center" shrinkToFit="1"/>
    </xf>
    <xf numFmtId="0" fontId="0" fillId="0" borderId="1" xfId="0" applyBorder="1" applyAlignment="1">
      <alignment vertical="center" shrinkToFit="1"/>
    </xf>
    <xf numFmtId="0" fontId="0" fillId="0" borderId="3" xfId="0" applyBorder="1" applyAlignment="1">
      <alignment vertical="center" shrinkToFit="1"/>
    </xf>
    <xf numFmtId="0" fontId="0" fillId="0" borderId="21" xfId="0" applyBorder="1" applyAlignment="1">
      <alignment vertical="center" shrinkToFit="1"/>
    </xf>
    <xf numFmtId="0" fontId="0" fillId="0" borderId="22" xfId="0" applyBorder="1" applyAlignment="1">
      <alignment vertical="center" shrinkToFit="1"/>
    </xf>
    <xf numFmtId="0" fontId="0" fillId="0" borderId="9" xfId="0" applyBorder="1" applyAlignment="1">
      <alignment vertical="center" shrinkToFit="1"/>
    </xf>
    <xf numFmtId="0" fontId="0" fillId="0" borderId="6" xfId="0" applyBorder="1" applyAlignment="1">
      <alignment vertical="center" shrinkToFit="1"/>
    </xf>
    <xf numFmtId="0" fontId="0" fillId="0" borderId="23" xfId="0" applyBorder="1" applyAlignment="1">
      <alignment vertical="center" shrinkToFit="1"/>
    </xf>
    <xf numFmtId="0" fontId="0" fillId="0" borderId="18" xfId="0" applyBorder="1" applyAlignment="1">
      <alignment vertical="center" shrinkToFit="1"/>
    </xf>
    <xf numFmtId="177" fontId="0" fillId="0" borderId="0" xfId="0" applyNumberFormat="1">
      <alignment vertical="center"/>
    </xf>
    <xf numFmtId="177" fontId="0" fillId="0" borderId="0" xfId="0" applyNumberFormat="1" applyAlignment="1">
      <alignment vertical="center" shrinkToFit="1"/>
    </xf>
    <xf numFmtId="177" fontId="0" fillId="0" borderId="0" xfId="0" applyNumberFormat="1" applyAlignment="1">
      <alignment wrapText="1"/>
    </xf>
    <xf numFmtId="177" fontId="0" fillId="0" borderId="0" xfId="0" applyNumberFormat="1" applyAlignment="1"/>
    <xf numFmtId="177" fontId="6" fillId="0" borderId="0" xfId="0" applyNumberFormat="1" applyFont="1" applyAlignment="1"/>
    <xf numFmtId="177" fontId="0" fillId="0" borderId="14" xfId="0" applyNumberFormat="1" applyBorder="1">
      <alignment vertical="center"/>
    </xf>
    <xf numFmtId="0" fontId="0" fillId="0" borderId="58" xfId="0" applyBorder="1">
      <alignment vertical="center"/>
    </xf>
    <xf numFmtId="0" fontId="0" fillId="0" borderId="59" xfId="0" applyBorder="1">
      <alignment vertical="center"/>
    </xf>
    <xf numFmtId="0" fontId="0" fillId="0" borderId="60" xfId="0" applyBorder="1">
      <alignment vertical="center"/>
    </xf>
    <xf numFmtId="0" fontId="0" fillId="0" borderId="61" xfId="0" applyBorder="1">
      <alignment vertical="center"/>
    </xf>
    <xf numFmtId="0" fontId="0" fillId="0" borderId="62" xfId="0" applyBorder="1">
      <alignment vertical="center"/>
    </xf>
    <xf numFmtId="0" fontId="0" fillId="0" borderId="63" xfId="0" applyBorder="1">
      <alignment vertical="center"/>
    </xf>
    <xf numFmtId="0" fontId="0" fillId="0" borderId="64" xfId="0" applyBorder="1">
      <alignment vertical="center"/>
    </xf>
    <xf numFmtId="0" fontId="0" fillId="0" borderId="65" xfId="0" applyBorder="1">
      <alignment vertical="center"/>
    </xf>
    <xf numFmtId="0" fontId="8" fillId="3" borderId="24" xfId="0" applyFont="1" applyFill="1" applyBorder="1" applyAlignment="1">
      <alignment horizontal="right" vertical="center"/>
    </xf>
    <xf numFmtId="0" fontId="2" fillId="3" borderId="19" xfId="0" applyFont="1" applyFill="1" applyBorder="1" applyAlignment="1">
      <alignment vertical="center" shrinkToFit="1"/>
    </xf>
    <xf numFmtId="176" fontId="2" fillId="3" borderId="6" xfId="0" applyNumberFormat="1" applyFont="1" applyFill="1" applyBorder="1" applyAlignment="1">
      <alignment horizontal="right" vertical="center"/>
    </xf>
    <xf numFmtId="176" fontId="2" fillId="3" borderId="6" xfId="0" applyNumberFormat="1" applyFont="1" applyFill="1" applyBorder="1">
      <alignment vertical="center"/>
    </xf>
    <xf numFmtId="0" fontId="8" fillId="3" borderId="25" xfId="0" applyFont="1" applyFill="1" applyBorder="1" applyAlignment="1">
      <alignment horizontal="right" vertical="center"/>
    </xf>
    <xf numFmtId="0" fontId="2" fillId="3" borderId="26" xfId="0" applyFont="1" applyFill="1" applyBorder="1" applyAlignment="1">
      <alignment vertical="center" shrinkToFit="1"/>
    </xf>
    <xf numFmtId="176" fontId="2" fillId="3" borderId="23" xfId="0" applyNumberFormat="1" applyFont="1" applyFill="1" applyBorder="1">
      <alignment vertical="center"/>
    </xf>
    <xf numFmtId="180" fontId="0" fillId="0" borderId="0" xfId="0" applyNumberFormat="1">
      <alignment vertical="center"/>
    </xf>
    <xf numFmtId="177" fontId="0" fillId="0" borderId="8" xfId="0" applyNumberFormat="1" applyBorder="1">
      <alignment vertical="center"/>
    </xf>
    <xf numFmtId="177" fontId="0" fillId="0" borderId="10" xfId="0" applyNumberFormat="1" applyBorder="1">
      <alignment vertical="center"/>
    </xf>
    <xf numFmtId="178" fontId="0" fillId="0" borderId="0" xfId="0" applyNumberFormat="1">
      <alignment vertical="center"/>
    </xf>
    <xf numFmtId="178" fontId="0" fillId="0" borderId="0" xfId="4" applyNumberFormat="1" applyFont="1" applyBorder="1">
      <alignment vertical="center"/>
    </xf>
    <xf numFmtId="0" fontId="0" fillId="0" borderId="0" xfId="0" applyAlignment="1">
      <alignment horizontal="left" vertical="center"/>
    </xf>
    <xf numFmtId="0" fontId="14" fillId="0" borderId="0" xfId="0" applyFont="1">
      <alignment vertical="center"/>
    </xf>
    <xf numFmtId="0" fontId="15" fillId="0" borderId="0" xfId="1" applyFont="1" applyFill="1" applyAlignment="1" applyProtection="1">
      <alignment vertical="center"/>
    </xf>
    <xf numFmtId="0" fontId="26" fillId="0" borderId="0" xfId="0" applyFont="1">
      <alignment vertical="center"/>
    </xf>
    <xf numFmtId="49" fontId="16" fillId="0" borderId="0" xfId="0" applyNumberFormat="1" applyFont="1" applyAlignment="1" applyProtection="1">
      <alignment horizontal="left" vertical="center" shrinkToFit="1"/>
      <protection locked="0"/>
    </xf>
    <xf numFmtId="0" fontId="14" fillId="0" borderId="68" xfId="0" applyFont="1" applyBorder="1" applyAlignment="1">
      <alignment horizontal="center" vertical="center" shrinkToFit="1"/>
    </xf>
    <xf numFmtId="5" fontId="18" fillId="0" borderId="69" xfId="0" applyNumberFormat="1" applyFont="1" applyBorder="1" applyAlignment="1">
      <alignment horizontal="right" vertical="center" indent="1" shrinkToFit="1"/>
    </xf>
    <xf numFmtId="0" fontId="14" fillId="0" borderId="70" xfId="0" applyFont="1" applyBorder="1">
      <alignment vertical="center"/>
    </xf>
    <xf numFmtId="0" fontId="17" fillId="0" borderId="68" xfId="0" applyFont="1" applyBorder="1" applyAlignment="1">
      <alignment horizontal="center" vertical="center"/>
    </xf>
    <xf numFmtId="49" fontId="14" fillId="0" borderId="69" xfId="0" applyNumberFormat="1" applyFont="1" applyBorder="1" applyAlignment="1" applyProtection="1">
      <alignment horizontal="center" vertical="center"/>
      <protection locked="0"/>
    </xf>
    <xf numFmtId="49" fontId="17" fillId="0" borderId="0" xfId="0" applyNumberFormat="1" applyFont="1" applyAlignment="1" applyProtection="1">
      <alignment horizontal="center" vertical="center" shrinkToFit="1"/>
      <protection locked="0"/>
    </xf>
    <xf numFmtId="0" fontId="17" fillId="0" borderId="0" xfId="0" applyFont="1" applyAlignment="1">
      <alignment horizontal="center" vertical="center" shrinkToFit="1"/>
    </xf>
    <xf numFmtId="49" fontId="14" fillId="0" borderId="0" xfId="0" applyNumberFormat="1" applyFont="1" applyAlignment="1" applyProtection="1">
      <alignment horizontal="center" vertical="center"/>
      <protection locked="0"/>
    </xf>
    <xf numFmtId="0" fontId="14" fillId="0" borderId="71" xfId="0" applyFont="1" applyBorder="1">
      <alignment vertical="center"/>
    </xf>
    <xf numFmtId="0" fontId="14" fillId="0" borderId="72" xfId="0" applyFont="1" applyBorder="1" applyAlignment="1">
      <alignment horizontal="center" vertical="center"/>
    </xf>
    <xf numFmtId="0" fontId="14" fillId="0" borderId="69" xfId="0" applyFont="1" applyBorder="1" applyAlignment="1">
      <alignment horizontal="center" vertical="center"/>
    </xf>
    <xf numFmtId="177" fontId="14" fillId="0" borderId="73" xfId="0" applyNumberFormat="1" applyFont="1" applyBorder="1" applyAlignment="1" applyProtection="1">
      <alignment horizontal="right" vertical="center" shrinkToFit="1"/>
      <protection locked="0"/>
    </xf>
    <xf numFmtId="0" fontId="16" fillId="0" borderId="73" xfId="0" applyFont="1" applyBorder="1" applyAlignment="1" applyProtection="1">
      <alignment horizontal="center" vertical="center" shrinkToFit="1"/>
      <protection locked="0"/>
    </xf>
    <xf numFmtId="177" fontId="17" fillId="0" borderId="73" xfId="3" applyNumberFormat="1" applyFont="1" applyBorder="1" applyAlignment="1" applyProtection="1">
      <alignment horizontal="right" vertical="center" shrinkToFit="1"/>
      <protection locked="0"/>
    </xf>
    <xf numFmtId="177" fontId="14" fillId="0" borderId="73" xfId="0" applyNumberFormat="1" applyFont="1" applyBorder="1" applyAlignment="1">
      <alignment horizontal="right" vertical="center" shrinkToFit="1"/>
    </xf>
    <xf numFmtId="49" fontId="14" fillId="0" borderId="74" xfId="0" applyNumberFormat="1" applyFont="1" applyBorder="1" applyAlignment="1" applyProtection="1">
      <alignment vertical="center" shrinkToFit="1"/>
      <protection locked="0"/>
    </xf>
    <xf numFmtId="177" fontId="14" fillId="0" borderId="67" xfId="0" applyNumberFormat="1" applyFont="1" applyBorder="1" applyAlignment="1" applyProtection="1">
      <alignment horizontal="right" vertical="center" shrinkToFit="1"/>
      <protection locked="0"/>
    </xf>
    <xf numFmtId="0" fontId="16" fillId="0" borderId="67" xfId="0" applyFont="1" applyBorder="1" applyAlignment="1" applyProtection="1">
      <alignment horizontal="center" vertical="center" shrinkToFit="1"/>
      <protection locked="0"/>
    </xf>
    <xf numFmtId="177" fontId="17" fillId="0" borderId="67" xfId="3" applyNumberFormat="1" applyFont="1" applyBorder="1" applyAlignment="1" applyProtection="1">
      <alignment horizontal="right" vertical="center" shrinkToFit="1"/>
      <protection locked="0"/>
    </xf>
    <xf numFmtId="177" fontId="14" fillId="0" borderId="67" xfId="0" applyNumberFormat="1" applyFont="1" applyBorder="1" applyAlignment="1">
      <alignment horizontal="right" vertical="center" shrinkToFit="1"/>
    </xf>
    <xf numFmtId="49" fontId="14" fillId="0" borderId="75" xfId="0" applyNumberFormat="1" applyFont="1" applyBorder="1" applyAlignment="1" applyProtection="1">
      <alignment vertical="center" shrinkToFit="1"/>
      <protection locked="0"/>
    </xf>
    <xf numFmtId="0" fontId="27" fillId="0" borderId="0" xfId="0" applyFont="1" applyAlignment="1">
      <alignment vertical="top" wrapText="1" shrinkToFit="1"/>
    </xf>
    <xf numFmtId="0" fontId="14" fillId="0" borderId="76" xfId="3" applyNumberFormat="1" applyFont="1" applyFill="1" applyBorder="1" applyAlignment="1" applyProtection="1">
      <alignment horizontal="center" vertical="center" shrinkToFit="1"/>
    </xf>
    <xf numFmtId="176" fontId="14" fillId="0" borderId="77" xfId="0" applyNumberFormat="1" applyFont="1" applyBorder="1" applyAlignment="1">
      <alignment vertical="center" shrinkToFit="1"/>
    </xf>
    <xf numFmtId="181" fontId="28" fillId="0" borderId="70" xfId="0" applyNumberFormat="1" applyFont="1" applyBorder="1">
      <alignment vertical="center"/>
    </xf>
    <xf numFmtId="0" fontId="14" fillId="0" borderId="78" xfId="3" applyNumberFormat="1" applyFont="1" applyFill="1" applyBorder="1" applyAlignment="1" applyProtection="1">
      <alignment horizontal="center" vertical="center" shrinkToFit="1"/>
    </xf>
    <xf numFmtId="9" fontId="14" fillId="0" borderId="79" xfId="0" applyNumberFormat="1" applyFont="1" applyBorder="1" applyAlignment="1" applyProtection="1">
      <alignment horizontal="right" vertical="center" indent="1" shrinkToFit="1"/>
      <protection locked="0"/>
    </xf>
    <xf numFmtId="176" fontId="14" fillId="0" borderId="79" xfId="0" applyNumberFormat="1" applyFont="1" applyBorder="1" applyAlignment="1">
      <alignment vertical="center" shrinkToFit="1"/>
    </xf>
    <xf numFmtId="177" fontId="14" fillId="0" borderId="80" xfId="0" applyNumberFormat="1" applyFont="1" applyBorder="1" applyAlignment="1" applyProtection="1">
      <alignment horizontal="right" vertical="center" shrinkToFit="1"/>
      <protection locked="0"/>
    </xf>
    <xf numFmtId="0" fontId="16" fillId="0" borderId="80" xfId="0" applyFont="1" applyBorder="1" applyAlignment="1" applyProtection="1">
      <alignment horizontal="center" vertical="center" shrinkToFit="1"/>
      <protection locked="0"/>
    </xf>
    <xf numFmtId="177" fontId="17" fillId="0" borderId="80" xfId="3" applyNumberFormat="1" applyFont="1" applyBorder="1" applyAlignment="1" applyProtection="1">
      <alignment horizontal="right" vertical="center" shrinkToFit="1"/>
      <protection locked="0"/>
    </xf>
    <xf numFmtId="177" fontId="14" fillId="0" borderId="80" xfId="0" applyNumberFormat="1" applyFont="1" applyBorder="1" applyAlignment="1">
      <alignment horizontal="right" vertical="center" shrinkToFit="1"/>
    </xf>
    <xf numFmtId="49" fontId="14" fillId="0" borderId="81" xfId="0" applyNumberFormat="1" applyFont="1" applyBorder="1" applyAlignment="1" applyProtection="1">
      <alignment vertical="center" shrinkToFit="1"/>
      <protection locked="0"/>
    </xf>
    <xf numFmtId="0" fontId="14" fillId="0" borderId="82" xfId="3" applyNumberFormat="1" applyFont="1" applyFill="1" applyBorder="1" applyAlignment="1" applyProtection="1">
      <alignment horizontal="center" vertical="center" shrinkToFit="1"/>
    </xf>
    <xf numFmtId="176" fontId="19" fillId="0" borderId="83" xfId="0" applyNumberFormat="1" applyFont="1" applyBorder="1" applyAlignment="1">
      <alignment vertical="center" shrinkToFit="1"/>
    </xf>
    <xf numFmtId="0" fontId="10" fillId="0" borderId="0" xfId="2" applyAlignment="1" applyProtection="1">
      <alignment vertical="center"/>
      <protection locked="0"/>
    </xf>
    <xf numFmtId="0" fontId="29" fillId="0" borderId="0" xfId="0" applyFont="1" applyProtection="1">
      <alignment vertical="center"/>
      <protection locked="0"/>
    </xf>
    <xf numFmtId="0" fontId="0" fillId="0" borderId="6" xfId="0" applyBorder="1">
      <alignment vertical="center"/>
    </xf>
    <xf numFmtId="0" fontId="21" fillId="0" borderId="0" xfId="0" applyFont="1">
      <alignment vertical="center"/>
    </xf>
    <xf numFmtId="0" fontId="21" fillId="0" borderId="27" xfId="0" applyFont="1" applyBorder="1">
      <alignment vertical="center"/>
    </xf>
    <xf numFmtId="0" fontId="21" fillId="0" borderId="0" xfId="6" applyFont="1" applyAlignment="1">
      <alignment horizontal="center" vertical="center"/>
    </xf>
    <xf numFmtId="0" fontId="21" fillId="0" borderId="0" xfId="6" applyFont="1">
      <alignment vertical="center"/>
    </xf>
    <xf numFmtId="0" fontId="4" fillId="0" borderId="0" xfId="6" applyFont="1">
      <alignment vertical="center"/>
    </xf>
    <xf numFmtId="0" fontId="2" fillId="0" borderId="0" xfId="6">
      <alignment vertical="center"/>
    </xf>
    <xf numFmtId="0" fontId="2" fillId="0" borderId="28" xfId="6" applyBorder="1">
      <alignment vertical="center"/>
    </xf>
    <xf numFmtId="0" fontId="2" fillId="0" borderId="29" xfId="6" applyBorder="1">
      <alignment vertical="center"/>
    </xf>
    <xf numFmtId="0" fontId="2" fillId="0" borderId="30" xfId="6" applyBorder="1">
      <alignment vertical="center"/>
    </xf>
    <xf numFmtId="0" fontId="2" fillId="0" borderId="31" xfId="6" applyBorder="1">
      <alignment vertical="center"/>
    </xf>
    <xf numFmtId="0" fontId="2" fillId="0" borderId="32" xfId="6" applyBorder="1">
      <alignment vertical="center"/>
    </xf>
    <xf numFmtId="0" fontId="2" fillId="0" borderId="33" xfId="6" applyBorder="1">
      <alignment vertical="center"/>
    </xf>
    <xf numFmtId="0" fontId="2" fillId="0" borderId="34" xfId="6" applyBorder="1">
      <alignment vertical="center"/>
    </xf>
    <xf numFmtId="0" fontId="2" fillId="0" borderId="35" xfId="6" applyBorder="1">
      <alignment vertical="center"/>
    </xf>
    <xf numFmtId="0" fontId="12" fillId="0" borderId="0" xfId="6" applyFont="1">
      <alignment vertical="center"/>
    </xf>
    <xf numFmtId="0" fontId="0" fillId="0" borderId="36" xfId="6" applyFont="1" applyBorder="1">
      <alignment vertical="center"/>
    </xf>
    <xf numFmtId="38" fontId="0" fillId="0" borderId="0" xfId="4" applyNumberFormat="1" applyFont="1" applyFill="1" applyBorder="1">
      <alignment vertical="center"/>
    </xf>
    <xf numFmtId="0" fontId="8" fillId="0" borderId="0" xfId="0" applyFont="1" applyAlignment="1">
      <alignment horizontal="left" vertical="center"/>
    </xf>
    <xf numFmtId="0" fontId="30" fillId="0" borderId="4" xfId="0" applyFont="1" applyBorder="1" applyAlignment="1">
      <alignment horizontal="center" vertical="center"/>
    </xf>
    <xf numFmtId="0" fontId="0" fillId="0" borderId="4" xfId="0" applyBorder="1">
      <alignment vertical="center"/>
    </xf>
    <xf numFmtId="178" fontId="31" fillId="0" borderId="0" xfId="0" applyNumberFormat="1" applyFont="1">
      <alignment vertical="center"/>
    </xf>
    <xf numFmtId="0" fontId="0" fillId="4" borderId="4" xfId="0" applyFill="1" applyBorder="1" applyAlignment="1">
      <alignment horizontal="left"/>
    </xf>
    <xf numFmtId="177" fontId="0" fillId="4" borderId="14" xfId="0" applyNumberFormat="1" applyFill="1" applyBorder="1">
      <alignment vertical="center"/>
    </xf>
    <xf numFmtId="0" fontId="8" fillId="4" borderId="15" xfId="0" applyFont="1" applyFill="1" applyBorder="1" applyAlignment="1">
      <alignment horizontal="right" vertical="center"/>
    </xf>
    <xf numFmtId="0" fontId="0" fillId="4" borderId="18" xfId="0" applyFill="1" applyBorder="1" applyAlignment="1">
      <alignment vertical="center" shrinkToFit="1"/>
    </xf>
    <xf numFmtId="176" fontId="0" fillId="4" borderId="13" xfId="0" applyNumberFormat="1" applyFill="1" applyBorder="1" applyAlignment="1">
      <alignment horizontal="right" vertical="center"/>
    </xf>
    <xf numFmtId="176" fontId="0" fillId="4" borderId="14" xfId="0" applyNumberFormat="1" applyFill="1" applyBorder="1">
      <alignment vertical="center"/>
    </xf>
    <xf numFmtId="177" fontId="0" fillId="4" borderId="2" xfId="0" applyNumberFormat="1" applyFill="1" applyBorder="1">
      <alignment vertical="center"/>
    </xf>
    <xf numFmtId="0" fontId="8" fillId="4" borderId="16" xfId="0" applyFont="1" applyFill="1" applyBorder="1" applyAlignment="1">
      <alignment horizontal="right" vertical="center"/>
    </xf>
    <xf numFmtId="0" fontId="0" fillId="4" borderId="19" xfId="0" applyFill="1" applyBorder="1" applyAlignment="1">
      <alignment vertical="center" shrinkToFit="1"/>
    </xf>
    <xf numFmtId="176" fontId="0" fillId="4" borderId="6" xfId="0" applyNumberFormat="1" applyFill="1" applyBorder="1" applyAlignment="1">
      <alignment horizontal="right" vertical="center"/>
    </xf>
    <xf numFmtId="176" fontId="0" fillId="4" borderId="2" xfId="0" applyNumberFormat="1" applyFill="1" applyBorder="1">
      <alignment vertical="center"/>
    </xf>
    <xf numFmtId="0" fontId="8" fillId="4" borderId="17" xfId="0" applyFont="1" applyFill="1" applyBorder="1" applyAlignment="1">
      <alignment horizontal="right" vertical="center"/>
    </xf>
    <xf numFmtId="0" fontId="0" fillId="4" borderId="20" xfId="0" applyFill="1" applyBorder="1" applyAlignment="1">
      <alignment vertical="center" shrinkToFit="1"/>
    </xf>
    <xf numFmtId="176" fontId="0" fillId="4" borderId="9" xfId="0" applyNumberFormat="1" applyFill="1" applyBorder="1" applyAlignment="1">
      <alignment horizontal="right" vertical="center"/>
    </xf>
    <xf numFmtId="176" fontId="0" fillId="4" borderId="6" xfId="0" applyNumberFormat="1" applyFill="1" applyBorder="1">
      <alignment vertical="center"/>
    </xf>
    <xf numFmtId="177" fontId="0" fillId="4" borderId="3" xfId="0" applyNumberFormat="1" applyFill="1" applyBorder="1">
      <alignment vertical="center"/>
    </xf>
    <xf numFmtId="176" fontId="2" fillId="4" borderId="2" xfId="0" applyNumberFormat="1" applyFont="1" applyFill="1" applyBorder="1">
      <alignment vertical="center"/>
    </xf>
    <xf numFmtId="176" fontId="2" fillId="4" borderId="3" xfId="0" applyNumberFormat="1" applyFont="1" applyFill="1" applyBorder="1">
      <alignment vertical="center"/>
    </xf>
    <xf numFmtId="0" fontId="32" fillId="0" borderId="0" xfId="8" applyFont="1"/>
    <xf numFmtId="0" fontId="32" fillId="0" borderId="0" xfId="8" applyFont="1" applyAlignment="1">
      <alignment horizontal="center" vertical="center" wrapText="1"/>
    </xf>
    <xf numFmtId="0" fontId="33" fillId="0" borderId="0" xfId="8" applyFont="1" applyAlignment="1">
      <alignment horizontal="center" vertical="center" wrapText="1"/>
    </xf>
    <xf numFmtId="0" fontId="34" fillId="0" borderId="0" xfId="8" applyFont="1" applyAlignment="1">
      <alignment vertical="center" shrinkToFit="1"/>
    </xf>
    <xf numFmtId="0" fontId="34" fillId="0" borderId="0" xfId="8" applyFont="1" applyAlignment="1">
      <alignment vertical="center"/>
    </xf>
    <xf numFmtId="0" fontId="34" fillId="0" borderId="0" xfId="8" applyFont="1" applyAlignment="1">
      <alignment horizontal="center" vertical="center"/>
    </xf>
    <xf numFmtId="0" fontId="32" fillId="0" borderId="0" xfId="8" applyFont="1" applyAlignment="1">
      <alignment wrapText="1"/>
    </xf>
    <xf numFmtId="0" fontId="32" fillId="0" borderId="0" xfId="8" applyFont="1" applyAlignment="1">
      <alignment horizontal="center" vertical="top" wrapText="1"/>
    </xf>
    <xf numFmtId="0" fontId="38" fillId="0" borderId="0" xfId="8" applyFont="1" applyAlignment="1">
      <alignment vertical="center"/>
    </xf>
    <xf numFmtId="0" fontId="32" fillId="0" borderId="0" xfId="8" applyFont="1" applyAlignment="1">
      <alignment horizontal="center" vertical="top" textRotation="255" wrapText="1"/>
    </xf>
    <xf numFmtId="0" fontId="32" fillId="0" borderId="0" xfId="8" applyFont="1" applyAlignment="1">
      <alignment vertical="center"/>
    </xf>
    <xf numFmtId="0" fontId="32" fillId="0" borderId="104" xfId="8" applyFont="1" applyBorder="1"/>
    <xf numFmtId="0" fontId="32" fillId="0" borderId="105" xfId="8" applyFont="1" applyBorder="1"/>
    <xf numFmtId="0" fontId="32" fillId="0" borderId="105" xfId="8" applyFont="1" applyBorder="1" applyAlignment="1">
      <alignment vertical="center"/>
    </xf>
    <xf numFmtId="0" fontId="32" fillId="0" borderId="106" xfId="8" applyFont="1" applyBorder="1"/>
    <xf numFmtId="0" fontId="32" fillId="0" borderId="107" xfId="8" applyFont="1" applyBorder="1"/>
    <xf numFmtId="0" fontId="35" fillId="0" borderId="0" xfId="8" applyFont="1"/>
    <xf numFmtId="0" fontId="39" fillId="0" borderId="0" xfId="8" applyFont="1" applyAlignment="1">
      <alignment vertical="center"/>
    </xf>
    <xf numFmtId="0" fontId="35" fillId="0" borderId="0" xfId="8" applyFont="1" applyAlignment="1">
      <alignment vertical="top"/>
    </xf>
    <xf numFmtId="0" fontId="40" fillId="0" borderId="0" xfId="8" applyFont="1"/>
    <xf numFmtId="0" fontId="32" fillId="0" borderId="108" xfId="8" applyFont="1" applyBorder="1"/>
    <xf numFmtId="0" fontId="35" fillId="0" borderId="0" xfId="8" applyFont="1" applyAlignment="1">
      <alignment vertical="center"/>
    </xf>
    <xf numFmtId="0" fontId="35" fillId="0" borderId="0" xfId="8" applyFont="1" applyAlignment="1" applyProtection="1">
      <alignment vertical="center"/>
      <protection locked="0"/>
    </xf>
    <xf numFmtId="0" fontId="35" fillId="0" borderId="95" xfId="8" applyFont="1" applyBorder="1" applyAlignment="1">
      <alignment vertical="center"/>
    </xf>
    <xf numFmtId="0" fontId="35" fillId="0" borderId="0" xfId="8" applyFont="1" applyProtection="1">
      <protection locked="0"/>
    </xf>
    <xf numFmtId="0" fontId="35" fillId="0" borderId="0" xfId="8" applyFont="1" applyAlignment="1">
      <alignment horizontal="center"/>
    </xf>
    <xf numFmtId="0" fontId="36" fillId="0" borderId="0" xfId="8" applyFont="1" applyAlignment="1">
      <alignment horizontal="left"/>
    </xf>
    <xf numFmtId="0" fontId="32" fillId="0" borderId="107" xfId="8" applyFont="1" applyBorder="1" applyAlignment="1">
      <alignment vertical="center"/>
    </xf>
    <xf numFmtId="0" fontId="32" fillId="0" borderId="108" xfId="8" applyFont="1" applyBorder="1" applyAlignment="1">
      <alignment vertical="center"/>
    </xf>
    <xf numFmtId="0" fontId="35" fillId="0" borderId="95" xfId="8" applyFont="1" applyBorder="1" applyAlignment="1" applyProtection="1">
      <alignment vertical="center"/>
      <protection locked="0"/>
    </xf>
    <xf numFmtId="0" fontId="35" fillId="0" borderId="96" xfId="8" applyFont="1" applyBorder="1" applyAlignment="1" applyProtection="1">
      <alignment vertical="center"/>
      <protection locked="0"/>
    </xf>
    <xf numFmtId="0" fontId="32" fillId="0" borderId="0" xfId="8" applyFont="1" applyAlignment="1">
      <alignment vertical="center" shrinkToFit="1"/>
    </xf>
    <xf numFmtId="0" fontId="35" fillId="0" borderId="97" xfId="8" applyFont="1" applyBorder="1" applyAlignment="1">
      <alignment horizontal="center" vertical="center"/>
    </xf>
    <xf numFmtId="0" fontId="35" fillId="0" borderId="109" xfId="8" applyFont="1" applyBorder="1" applyAlignment="1">
      <alignment horizontal="center" vertical="center"/>
    </xf>
    <xf numFmtId="0" fontId="35" fillId="0" borderId="0" xfId="8" applyFont="1" applyAlignment="1">
      <alignment horizontal="center" vertical="center"/>
    </xf>
    <xf numFmtId="0" fontId="35" fillId="0" borderId="0" xfId="8" applyFont="1" applyAlignment="1">
      <alignment horizontal="left" vertical="center"/>
    </xf>
    <xf numFmtId="0" fontId="32" fillId="0" borderId="0" xfId="8" applyFont="1" applyAlignment="1">
      <alignment horizontal="center" vertical="center"/>
    </xf>
    <xf numFmtId="0" fontId="35" fillId="0" borderId="94" xfId="8" applyFont="1" applyBorder="1" applyAlignment="1" applyProtection="1">
      <alignment horizontal="right" vertical="center"/>
      <protection locked="0"/>
    </xf>
    <xf numFmtId="0" fontId="35" fillId="0" borderId="95" xfId="8" applyFont="1" applyBorder="1" applyAlignment="1" applyProtection="1">
      <alignment horizontal="right" vertical="center"/>
      <protection locked="0"/>
    </xf>
    <xf numFmtId="0" fontId="35" fillId="0" borderId="97" xfId="8" applyFont="1" applyBorder="1" applyAlignment="1" applyProtection="1">
      <alignment vertical="center"/>
      <protection locked="0"/>
    </xf>
    <xf numFmtId="0" fontId="35" fillId="0" borderId="97" xfId="8" applyFont="1" applyBorder="1" applyAlignment="1">
      <alignment horizontal="center" vertical="center" wrapText="1"/>
    </xf>
    <xf numFmtId="0" fontId="32" fillId="0" borderId="120" xfId="8" applyFont="1" applyBorder="1"/>
    <xf numFmtId="0" fontId="32" fillId="0" borderId="121" xfId="8" applyFont="1" applyBorder="1"/>
    <xf numFmtId="0" fontId="45" fillId="0" borderId="121" xfId="8" applyFont="1" applyBorder="1" applyAlignment="1">
      <alignment horizontal="center" vertical="center"/>
    </xf>
    <xf numFmtId="0" fontId="32" fillId="0" borderId="122" xfId="8" applyFont="1" applyBorder="1"/>
    <xf numFmtId="0" fontId="2" fillId="0" borderId="0" xfId="10"/>
    <xf numFmtId="0" fontId="2" fillId="0" borderId="160" xfId="10" applyBorder="1"/>
    <xf numFmtId="0" fontId="2" fillId="0" borderId="4" xfId="10" applyBorder="1" applyAlignment="1">
      <alignment vertical="center"/>
    </xf>
    <xf numFmtId="0" fontId="2" fillId="0" borderId="0" xfId="10" applyAlignment="1">
      <alignment vertical="center"/>
    </xf>
    <xf numFmtId="0" fontId="2" fillId="0" borderId="53" xfId="10" applyBorder="1" applyAlignment="1">
      <alignment vertical="center"/>
    </xf>
    <xf numFmtId="0" fontId="2" fillId="0" borderId="0" xfId="8"/>
    <xf numFmtId="0" fontId="2" fillId="0" borderId="4" xfId="8" applyBorder="1"/>
    <xf numFmtId="0" fontId="2" fillId="0" borderId="0" xfId="11" applyFont="1">
      <alignment vertical="center"/>
    </xf>
    <xf numFmtId="0" fontId="2" fillId="0" borderId="4" xfId="11" applyFont="1" applyBorder="1">
      <alignment vertical="center"/>
    </xf>
    <xf numFmtId="0" fontId="2" fillId="0" borderId="17" xfId="11" applyFont="1" applyBorder="1">
      <alignment vertical="center"/>
    </xf>
    <xf numFmtId="0" fontId="2" fillId="0" borderId="161" xfId="11" applyFont="1" applyBorder="1">
      <alignment vertical="center"/>
    </xf>
    <xf numFmtId="0" fontId="2" fillId="0" borderId="161" xfId="11" applyFont="1" applyBorder="1" applyAlignment="1">
      <alignment horizontal="center" vertical="center"/>
    </xf>
    <xf numFmtId="0" fontId="2" fillId="0" borderId="17" xfId="11" applyFont="1" applyBorder="1" applyAlignment="1">
      <alignment horizontal="center" vertical="center"/>
    </xf>
    <xf numFmtId="0" fontId="2" fillId="0" borderId="55" xfId="11" applyFont="1" applyBorder="1" applyAlignment="1">
      <alignment horizontal="center" vertical="center"/>
    </xf>
    <xf numFmtId="0" fontId="48" fillId="0" borderId="0" xfId="11" applyFont="1" applyAlignment="1">
      <alignment horizontal="left" vertical="center"/>
    </xf>
    <xf numFmtId="0" fontId="48" fillId="0" borderId="28" xfId="11" applyFont="1" applyBorder="1" applyAlignment="1">
      <alignment horizontal="left" vertical="center"/>
    </xf>
    <xf numFmtId="0" fontId="2" fillId="0" borderId="28" xfId="11" applyFont="1" applyBorder="1">
      <alignment vertical="center"/>
    </xf>
    <xf numFmtId="0" fontId="2" fillId="0" borderId="42" xfId="11" applyFont="1" applyBorder="1">
      <alignment vertical="center"/>
    </xf>
    <xf numFmtId="0" fontId="2" fillId="0" borderId="0" xfId="11" applyFont="1" applyAlignment="1">
      <alignment horizontal="left" vertical="center"/>
    </xf>
    <xf numFmtId="0" fontId="2" fillId="0" borderId="45" xfId="11" applyFont="1" applyBorder="1">
      <alignment vertical="center"/>
    </xf>
    <xf numFmtId="0" fontId="2" fillId="0" borderId="30" xfId="11" applyFont="1" applyBorder="1">
      <alignment vertical="center"/>
    </xf>
    <xf numFmtId="0" fontId="2" fillId="0" borderId="171" xfId="11" applyFont="1" applyBorder="1">
      <alignment vertical="center"/>
    </xf>
    <xf numFmtId="0" fontId="8" fillId="0" borderId="0" xfId="11" applyFont="1">
      <alignment vertical="center"/>
    </xf>
    <xf numFmtId="0" fontId="2" fillId="0" borderId="34" xfId="11" applyFont="1" applyBorder="1">
      <alignment vertical="center"/>
    </xf>
    <xf numFmtId="0" fontId="2" fillId="0" borderId="41" xfId="11" applyFont="1" applyBorder="1">
      <alignment vertical="center"/>
    </xf>
    <xf numFmtId="0" fontId="8" fillId="0" borderId="4" xfId="11" applyFont="1" applyBorder="1">
      <alignment vertical="center"/>
    </xf>
    <xf numFmtId="0" fontId="0" fillId="0" borderId="171" xfId="11" applyFont="1" applyBorder="1">
      <alignment vertical="center"/>
    </xf>
    <xf numFmtId="0" fontId="2" fillId="0" borderId="178" xfId="11" applyFont="1" applyBorder="1">
      <alignment vertical="center"/>
    </xf>
    <xf numFmtId="0" fontId="24" fillId="0" borderId="0" xfId="11" applyFont="1" applyAlignment="1">
      <alignment horizontal="center" vertical="center"/>
    </xf>
    <xf numFmtId="0" fontId="2" fillId="0" borderId="43" xfId="11" applyFont="1" applyBorder="1">
      <alignment vertical="center"/>
    </xf>
    <xf numFmtId="0" fontId="23" fillId="0" borderId="0" xfId="11" applyFont="1">
      <alignment vertical="center"/>
    </xf>
    <xf numFmtId="0" fontId="31" fillId="0" borderId="0" xfId="0" applyFont="1" applyAlignment="1"/>
    <xf numFmtId="0" fontId="0" fillId="0" borderId="27" xfId="0" applyBorder="1" applyAlignment="1"/>
    <xf numFmtId="0" fontId="0" fillId="0" borderId="0" xfId="0" applyAlignment="1">
      <alignment horizontal="center"/>
    </xf>
    <xf numFmtId="0" fontId="0" fillId="0" borderId="0" xfId="0" applyAlignment="1">
      <alignment horizontal="right" vertical="center" shrinkToFit="1"/>
    </xf>
    <xf numFmtId="0" fontId="0" fillId="0" borderId="0" xfId="0" applyAlignment="1">
      <alignment horizontal="center" wrapText="1"/>
    </xf>
    <xf numFmtId="0" fontId="0" fillId="0" borderId="0" xfId="0" applyAlignment="1">
      <alignment horizontal="center" vertical="center" wrapText="1" shrinkToFit="1"/>
    </xf>
    <xf numFmtId="0" fontId="0" fillId="0" borderId="0" xfId="0" applyAlignment="1">
      <alignment horizontal="center" wrapText="1" shrinkToFit="1"/>
    </xf>
    <xf numFmtId="0" fontId="32" fillId="0" borderId="0" xfId="12" applyFont="1"/>
    <xf numFmtId="0" fontId="32" fillId="0" borderId="0" xfId="12" applyFont="1" applyAlignment="1">
      <alignment horizontal="center" vertical="center" wrapText="1"/>
    </xf>
    <xf numFmtId="0" fontId="33" fillId="0" borderId="0" xfId="12" applyFont="1" applyAlignment="1">
      <alignment horizontal="center" vertical="center" wrapText="1"/>
    </xf>
    <xf numFmtId="0" fontId="34" fillId="0" borderId="0" xfId="12" applyFont="1" applyAlignment="1">
      <alignment vertical="center" shrinkToFit="1"/>
    </xf>
    <xf numFmtId="0" fontId="34" fillId="0" borderId="0" xfId="12" applyFont="1" applyAlignment="1">
      <alignment horizontal="center" vertical="center"/>
    </xf>
    <xf numFmtId="0" fontId="32" fillId="0" borderId="132" xfId="12" applyFont="1" applyBorder="1" applyAlignment="1">
      <alignment horizontal="center"/>
    </xf>
    <xf numFmtId="0" fontId="32" fillId="0" borderId="138" xfId="12" applyFont="1" applyBorder="1" applyAlignment="1">
      <alignment horizontal="center" shrinkToFit="1"/>
    </xf>
    <xf numFmtId="0" fontId="32" fillId="0" borderId="132" xfId="12" applyFont="1" applyBorder="1" applyAlignment="1">
      <alignment horizontal="center" shrinkToFit="1"/>
    </xf>
    <xf numFmtId="0" fontId="32" fillId="0" borderId="132" xfId="12" applyFont="1" applyBorder="1" applyAlignment="1">
      <alignment horizontal="center" vertical="center" wrapText="1"/>
    </xf>
    <xf numFmtId="0" fontId="34" fillId="0" borderId="126" xfId="12" applyFont="1" applyBorder="1" applyAlignment="1">
      <alignment horizontal="center" vertical="center" shrinkToFit="1"/>
    </xf>
    <xf numFmtId="0" fontId="34" fillId="0" borderId="127" xfId="12" applyFont="1" applyBorder="1" applyAlignment="1">
      <alignment horizontal="center" vertical="center" shrinkToFit="1"/>
    </xf>
    <xf numFmtId="0" fontId="34" fillId="0" borderId="128" xfId="12" applyFont="1" applyBorder="1" applyAlignment="1">
      <alignment horizontal="center" vertical="center" shrinkToFit="1"/>
    </xf>
    <xf numFmtId="0" fontId="32" fillId="0" borderId="126" xfId="12" applyFont="1" applyBorder="1" applyAlignment="1">
      <alignment horizontal="center" vertical="center" wrapText="1"/>
    </xf>
    <xf numFmtId="0" fontId="32" fillId="0" borderId="126" xfId="12" applyFont="1" applyBorder="1" applyAlignment="1">
      <alignment horizontal="center" vertical="center"/>
    </xf>
    <xf numFmtId="0" fontId="32" fillId="0" borderId="0" xfId="12" applyFont="1" applyAlignment="1">
      <alignment wrapText="1"/>
    </xf>
    <xf numFmtId="0" fontId="32" fillId="0" borderId="139" xfId="12" applyFont="1" applyBorder="1" applyAlignment="1">
      <alignment horizontal="center" vertical="center"/>
    </xf>
    <xf numFmtId="0" fontId="32" fillId="0" borderId="143" xfId="12" applyFont="1" applyBorder="1"/>
    <xf numFmtId="0" fontId="32" fillId="0" borderId="144" xfId="12" applyFont="1" applyBorder="1"/>
    <xf numFmtId="0" fontId="32" fillId="0" borderId="144" xfId="12" applyFont="1" applyBorder="1" applyAlignment="1">
      <alignment vertical="center"/>
    </xf>
    <xf numFmtId="0" fontId="32" fillId="0" borderId="145" xfId="12" applyFont="1" applyBorder="1"/>
    <xf numFmtId="0" fontId="32" fillId="0" borderId="146" xfId="12" applyFont="1" applyBorder="1"/>
    <xf numFmtId="0" fontId="32" fillId="0" borderId="129" xfId="12" applyFont="1" applyBorder="1"/>
    <xf numFmtId="0" fontId="32" fillId="0" borderId="142" xfId="12" applyFont="1" applyBorder="1"/>
    <xf numFmtId="0" fontId="32" fillId="0" borderId="135" xfId="12" applyFont="1" applyBorder="1" applyAlignment="1">
      <alignment vertical="top"/>
    </xf>
    <xf numFmtId="0" fontId="32" fillId="0" borderId="0" xfId="12" applyFont="1" applyAlignment="1">
      <alignment horizontal="center" vertical="top"/>
    </xf>
    <xf numFmtId="0" fontId="32" fillId="0" borderId="129" xfId="12" applyFont="1" applyBorder="1" applyAlignment="1">
      <alignment horizontal="right" vertical="center"/>
    </xf>
    <xf numFmtId="0" fontId="32" fillId="0" borderId="130" xfId="12" applyFont="1" applyBorder="1" applyAlignment="1">
      <alignment vertical="center"/>
    </xf>
    <xf numFmtId="0" fontId="32" fillId="0" borderId="135" xfId="12" applyFont="1" applyBorder="1" applyAlignment="1">
      <alignment horizontal="right" vertical="center"/>
    </xf>
    <xf numFmtId="0" fontId="32" fillId="0" borderId="136" xfId="12" applyFont="1" applyBorder="1" applyAlignment="1">
      <alignment vertical="center"/>
    </xf>
    <xf numFmtId="0" fontId="32" fillId="0" borderId="130" xfId="12" applyFont="1" applyBorder="1"/>
    <xf numFmtId="0" fontId="32" fillId="0" borderId="130" xfId="12" applyFont="1" applyBorder="1" applyAlignment="1">
      <alignment vertical="top"/>
    </xf>
    <xf numFmtId="0" fontId="32" fillId="0" borderId="135" xfId="12" applyFont="1" applyBorder="1"/>
    <xf numFmtId="0" fontId="44" fillId="0" borderId="136" xfId="12" applyFont="1" applyBorder="1" applyAlignment="1">
      <alignment vertical="center"/>
    </xf>
    <xf numFmtId="0" fontId="32" fillId="0" borderId="136" xfId="12" applyFont="1" applyBorder="1"/>
    <xf numFmtId="0" fontId="32" fillId="0" borderId="136" xfId="12" applyFont="1" applyBorder="1" applyAlignment="1">
      <alignment vertical="top"/>
    </xf>
    <xf numFmtId="0" fontId="44" fillId="0" borderId="130" xfId="12" applyFont="1" applyBorder="1" applyAlignment="1">
      <alignment vertical="center"/>
    </xf>
    <xf numFmtId="0" fontId="2" fillId="0" borderId="136" xfId="12" applyBorder="1"/>
    <xf numFmtId="0" fontId="32" fillId="0" borderId="137" xfId="12" applyFont="1" applyBorder="1"/>
    <xf numFmtId="0" fontId="32" fillId="0" borderId="0" xfId="12" applyFont="1" applyAlignment="1">
      <alignment vertical="center"/>
    </xf>
    <xf numFmtId="0" fontId="44" fillId="0" borderId="0" xfId="12" applyFont="1" applyAlignment="1">
      <alignment vertical="center"/>
    </xf>
    <xf numFmtId="0" fontId="32" fillId="0" borderId="0" xfId="12" applyFont="1" applyAlignment="1">
      <alignment vertical="top"/>
    </xf>
    <xf numFmtId="0" fontId="38" fillId="0" borderId="0" xfId="12" applyFont="1"/>
    <xf numFmtId="0" fontId="32" fillId="0" borderId="127" xfId="12" applyFont="1" applyBorder="1" applyAlignment="1">
      <alignment vertical="center"/>
    </xf>
    <xf numFmtId="0" fontId="32" fillId="0" borderId="0" xfId="12" applyFont="1" applyAlignment="1">
      <alignment horizontal="center"/>
    </xf>
    <xf numFmtId="0" fontId="9" fillId="0" borderId="0" xfId="12" applyFont="1"/>
    <xf numFmtId="0" fontId="34" fillId="0" borderId="0" xfId="12" applyFont="1" applyAlignment="1">
      <alignment horizontal="left"/>
    </xf>
    <xf numFmtId="0" fontId="46" fillId="0" borderId="0" xfId="12" applyFont="1" applyAlignment="1">
      <alignment vertical="center"/>
    </xf>
    <xf numFmtId="0" fontId="46" fillId="0" borderId="190" xfId="12" applyFont="1" applyBorder="1" applyAlignment="1">
      <alignment vertical="center"/>
    </xf>
    <xf numFmtId="0" fontId="46" fillId="0" borderId="142" xfId="12" applyFont="1" applyBorder="1"/>
    <xf numFmtId="0" fontId="32" fillId="0" borderId="135" xfId="12" applyFont="1" applyBorder="1" applyAlignment="1" applyProtection="1">
      <alignment vertical="center" wrapText="1"/>
      <protection locked="0"/>
    </xf>
    <xf numFmtId="0" fontId="2" fillId="0" borderId="127" xfId="12" applyBorder="1" applyAlignment="1" applyProtection="1">
      <alignment vertical="center" wrapText="1"/>
      <protection locked="0"/>
    </xf>
    <xf numFmtId="0" fontId="32" fillId="0" borderId="127" xfId="12" applyFont="1" applyBorder="1" applyAlignment="1" applyProtection="1">
      <alignment vertical="center" wrapText="1"/>
      <protection locked="0"/>
    </xf>
    <xf numFmtId="0" fontId="32" fillId="0" borderId="126" xfId="12" applyFont="1" applyBorder="1" applyAlignment="1" applyProtection="1">
      <alignment vertical="center" wrapText="1"/>
      <protection locked="0"/>
    </xf>
    <xf numFmtId="0" fontId="32" fillId="0" borderId="146" xfId="12" applyFont="1" applyBorder="1" applyAlignment="1">
      <alignment vertical="center"/>
    </xf>
    <xf numFmtId="0" fontId="32" fillId="0" borderId="142" xfId="12" applyFont="1" applyBorder="1" applyAlignment="1">
      <alignment vertical="center"/>
    </xf>
    <xf numFmtId="0" fontId="32" fillId="0" borderId="0" xfId="12" applyFont="1" applyAlignment="1">
      <alignment horizontal="center" vertical="center"/>
    </xf>
    <xf numFmtId="0" fontId="32" fillId="0" borderId="132" xfId="12" applyFont="1" applyBorder="1" applyAlignment="1">
      <alignment horizontal="center" vertical="center"/>
    </xf>
    <xf numFmtId="0" fontId="45" fillId="0" borderId="0" xfId="12" applyFont="1" applyAlignment="1">
      <alignment horizontal="center" vertical="center"/>
    </xf>
    <xf numFmtId="0" fontId="45" fillId="0" borderId="156" xfId="12" applyFont="1" applyBorder="1" applyAlignment="1">
      <alignment horizontal="center" vertical="center"/>
    </xf>
    <xf numFmtId="0" fontId="32" fillId="0" borderId="156" xfId="12" applyFont="1" applyBorder="1"/>
    <xf numFmtId="0" fontId="32" fillId="0" borderId="157" xfId="12" applyFont="1" applyBorder="1"/>
    <xf numFmtId="0" fontId="0" fillId="0" borderId="131" xfId="12" applyFont="1" applyBorder="1"/>
    <xf numFmtId="0" fontId="60" fillId="0" borderId="0" xfId="13" applyFont="1">
      <alignment vertical="center"/>
    </xf>
    <xf numFmtId="0" fontId="60" fillId="0" borderId="20" xfId="13" applyFont="1" applyBorder="1">
      <alignment vertical="center"/>
    </xf>
    <xf numFmtId="0" fontId="60" fillId="0" borderId="4" xfId="13" applyFont="1" applyBorder="1">
      <alignment vertical="center"/>
    </xf>
    <xf numFmtId="0" fontId="60" fillId="0" borderId="17" xfId="13" applyFont="1" applyBorder="1">
      <alignment vertical="center"/>
    </xf>
    <xf numFmtId="0" fontId="60" fillId="0" borderId="109" xfId="13" applyFont="1" applyBorder="1">
      <alignment vertical="center"/>
    </xf>
    <xf numFmtId="0" fontId="60" fillId="0" borderId="161" xfId="13" applyFont="1" applyBorder="1">
      <alignment vertical="center"/>
    </xf>
    <xf numFmtId="0" fontId="60" fillId="0" borderId="161" xfId="13" applyFont="1" applyBorder="1" applyAlignment="1">
      <alignment horizontal="center" vertical="center"/>
    </xf>
    <xf numFmtId="0" fontId="60" fillId="0" borderId="53" xfId="13" applyFont="1" applyBorder="1">
      <alignment vertical="center"/>
    </xf>
    <xf numFmtId="0" fontId="60" fillId="0" borderId="162" xfId="13" applyFont="1" applyBorder="1">
      <alignment vertical="center"/>
    </xf>
    <xf numFmtId="0" fontId="60" fillId="0" borderId="163" xfId="13" applyFont="1" applyBorder="1">
      <alignment vertical="center"/>
    </xf>
    <xf numFmtId="0" fontId="60" fillId="0" borderId="164" xfId="13" applyFont="1" applyBorder="1">
      <alignment vertical="center"/>
    </xf>
    <xf numFmtId="0" fontId="60" fillId="0" borderId="165" xfId="13" applyFont="1" applyBorder="1">
      <alignment vertical="center"/>
    </xf>
    <xf numFmtId="0" fontId="60" fillId="0" borderId="166" xfId="13" applyFont="1" applyBorder="1">
      <alignment vertical="center"/>
    </xf>
    <xf numFmtId="0" fontId="60" fillId="0" borderId="167" xfId="13" applyFont="1" applyBorder="1">
      <alignment vertical="center"/>
    </xf>
    <xf numFmtId="0" fontId="60" fillId="0" borderId="167" xfId="13" applyFont="1" applyBorder="1" applyAlignment="1">
      <alignment horizontal="center" vertical="center"/>
    </xf>
    <xf numFmtId="0" fontId="63" fillId="0" borderId="0" xfId="13" applyFont="1">
      <alignment vertical="center"/>
    </xf>
    <xf numFmtId="0" fontId="60" fillId="0" borderId="20" xfId="13" applyFont="1" applyBorder="1" applyAlignment="1">
      <alignment horizontal="center" vertical="center"/>
    </xf>
    <xf numFmtId="0" fontId="60" fillId="0" borderId="109" xfId="13" applyFont="1" applyBorder="1" applyAlignment="1">
      <alignment horizontal="center" vertical="center"/>
    </xf>
    <xf numFmtId="0" fontId="60" fillId="0" borderId="0" xfId="13" applyFont="1" applyAlignment="1">
      <alignment horizontal="center" vertical="center"/>
    </xf>
    <xf numFmtId="0" fontId="60" fillId="0" borderId="54" xfId="13" applyFont="1" applyBorder="1" applyAlignment="1">
      <alignment horizontal="center" vertical="center"/>
    </xf>
    <xf numFmtId="0" fontId="60" fillId="0" borderId="55" xfId="13" applyFont="1" applyBorder="1" applyAlignment="1">
      <alignment horizontal="center" vertical="center"/>
    </xf>
    <xf numFmtId="0" fontId="60" fillId="0" borderId="54" xfId="13" applyFont="1" applyBorder="1">
      <alignment vertical="center"/>
    </xf>
    <xf numFmtId="0" fontId="60" fillId="0" borderId="55" xfId="13" applyFont="1" applyBorder="1">
      <alignment vertical="center"/>
    </xf>
    <xf numFmtId="0" fontId="60" fillId="0" borderId="19" xfId="13" applyFont="1" applyBorder="1">
      <alignment vertical="center"/>
    </xf>
    <xf numFmtId="0" fontId="60" fillId="0" borderId="5" xfId="13" applyFont="1" applyBorder="1">
      <alignment vertical="center"/>
    </xf>
    <xf numFmtId="0" fontId="60" fillId="0" borderId="16" xfId="13" applyFont="1" applyBorder="1">
      <alignment vertical="center"/>
    </xf>
    <xf numFmtId="0" fontId="64" fillId="0" borderId="0" xfId="13" applyFont="1">
      <alignment vertical="center"/>
    </xf>
    <xf numFmtId="0" fontId="60" fillId="0" borderId="168" xfId="13" applyFont="1" applyBorder="1" applyAlignment="1">
      <alignment horizontal="center" vertical="center"/>
    </xf>
    <xf numFmtId="0" fontId="60" fillId="0" borderId="17" xfId="13" applyFont="1" applyBorder="1" applyAlignment="1">
      <alignment horizontal="right" vertical="center"/>
    </xf>
    <xf numFmtId="0" fontId="60" fillId="0" borderId="17" xfId="13" applyFont="1" applyBorder="1" applyAlignment="1">
      <alignment horizontal="left" vertical="center"/>
    </xf>
    <xf numFmtId="0" fontId="60" fillId="0" borderId="9" xfId="13" applyFont="1" applyBorder="1">
      <alignment vertical="center"/>
    </xf>
    <xf numFmtId="0" fontId="60" fillId="0" borderId="0" xfId="13" applyFont="1" applyAlignment="1">
      <alignment horizontal="left" vertical="center"/>
    </xf>
    <xf numFmtId="0" fontId="60" fillId="0" borderId="161" xfId="13" applyFont="1" applyBorder="1" applyAlignment="1">
      <alignment horizontal="right" vertical="center"/>
    </xf>
    <xf numFmtId="0" fontId="60" fillId="0" borderId="109" xfId="13" applyFont="1" applyBorder="1" applyAlignment="1">
      <alignment horizontal="right" vertical="center"/>
    </xf>
    <xf numFmtId="0" fontId="60" fillId="0" borderId="168" xfId="13" applyFont="1" applyBorder="1">
      <alignment vertical="center"/>
    </xf>
    <xf numFmtId="0" fontId="60" fillId="0" borderId="55" xfId="13" applyFont="1" applyBorder="1" applyAlignment="1">
      <alignment horizontal="right" vertical="center"/>
    </xf>
    <xf numFmtId="0" fontId="60" fillId="0" borderId="55" xfId="13" applyFont="1" applyBorder="1" applyAlignment="1">
      <alignment horizontal="left" vertical="center"/>
    </xf>
    <xf numFmtId="0" fontId="60" fillId="0" borderId="169" xfId="13" applyFont="1" applyBorder="1">
      <alignment vertical="center"/>
    </xf>
    <xf numFmtId="0" fontId="67" fillId="0" borderId="0" xfId="13" applyFont="1">
      <alignment vertical="center"/>
    </xf>
    <xf numFmtId="0" fontId="0" fillId="0" borderId="0" xfId="6" applyFont="1">
      <alignment vertical="center"/>
    </xf>
    <xf numFmtId="0" fontId="0" fillId="0" borderId="33" xfId="6" applyFont="1" applyBorder="1">
      <alignment vertical="center"/>
    </xf>
    <xf numFmtId="0" fontId="0" fillId="0" borderId="177" xfId="0" applyBorder="1" applyAlignment="1">
      <alignment vertical="center" shrinkToFit="1"/>
    </xf>
    <xf numFmtId="176" fontId="0" fillId="0" borderId="1" xfId="0" applyNumberFormat="1" applyBorder="1">
      <alignment vertical="center"/>
    </xf>
    <xf numFmtId="0" fontId="0" fillId="0" borderId="20" xfId="0" applyBorder="1" applyAlignment="1">
      <alignment vertical="center" shrinkToFit="1"/>
    </xf>
    <xf numFmtId="176" fontId="0" fillId="0" borderId="9" xfId="0" applyNumberFormat="1" applyBorder="1" applyAlignment="1">
      <alignment horizontal="right" vertical="center"/>
    </xf>
    <xf numFmtId="177" fontId="0" fillId="0" borderId="1" xfId="0" applyNumberFormat="1" applyBorder="1">
      <alignment vertical="center"/>
    </xf>
    <xf numFmtId="0" fontId="0" fillId="0" borderId="191" xfId="0" applyBorder="1" applyAlignment="1">
      <alignment vertical="center" shrinkToFit="1"/>
    </xf>
    <xf numFmtId="0" fontId="0" fillId="0" borderId="13" xfId="0" applyBorder="1" applyAlignment="1">
      <alignment vertical="center" shrinkToFit="1"/>
    </xf>
    <xf numFmtId="176" fontId="0" fillId="0" borderId="13" xfId="0" applyNumberFormat="1" applyBorder="1" applyAlignment="1">
      <alignment horizontal="right" vertical="center" shrinkToFit="1"/>
    </xf>
    <xf numFmtId="176" fontId="0" fillId="4" borderId="6" xfId="0" applyNumberFormat="1" applyFill="1" applyBorder="1" applyAlignment="1">
      <alignment vertical="center" shrinkToFit="1"/>
    </xf>
    <xf numFmtId="0" fontId="7" fillId="0" borderId="4" xfId="0" applyFont="1" applyBorder="1" applyAlignment="1">
      <alignment horizontal="center"/>
    </xf>
    <xf numFmtId="0" fontId="0" fillId="0" borderId="16" xfId="0" applyBorder="1" applyAlignment="1">
      <alignment vertical="center" shrinkToFit="1"/>
    </xf>
    <xf numFmtId="0" fontId="0" fillId="0" borderId="17" xfId="0" applyBorder="1" applyAlignment="1">
      <alignment vertical="center" shrinkToFit="1"/>
    </xf>
    <xf numFmtId="0" fontId="0" fillId="0" borderId="37" xfId="0" applyBorder="1" applyAlignment="1">
      <alignment vertical="center" shrinkToFit="1"/>
    </xf>
    <xf numFmtId="0" fontId="4" fillId="0" borderId="0" xfId="0" applyFont="1" applyAlignment="1">
      <alignment horizontal="center"/>
    </xf>
    <xf numFmtId="0" fontId="4" fillId="4" borderId="0" xfId="0" applyFont="1" applyFill="1" applyAlignment="1">
      <alignment horizontal="center"/>
    </xf>
    <xf numFmtId="0" fontId="68" fillId="8" borderId="192" xfId="0" applyFont="1" applyFill="1" applyBorder="1" applyAlignment="1">
      <alignment horizontal="center" vertical="center"/>
    </xf>
    <xf numFmtId="0" fontId="68" fillId="8" borderId="193" xfId="0" applyFont="1" applyFill="1" applyBorder="1" applyAlignment="1">
      <alignment horizontal="center" vertical="center"/>
    </xf>
    <xf numFmtId="0" fontId="69" fillId="6" borderId="6" xfId="0" applyFont="1" applyFill="1" applyBorder="1">
      <alignment vertical="center"/>
    </xf>
    <xf numFmtId="0" fontId="70" fillId="6" borderId="6" xfId="0" applyFont="1" applyFill="1" applyBorder="1" applyAlignment="1">
      <alignment vertical="center" shrinkToFit="1"/>
    </xf>
    <xf numFmtId="0" fontId="69" fillId="7" borderId="6" xfId="0" applyFont="1" applyFill="1" applyBorder="1">
      <alignment vertical="center"/>
    </xf>
    <xf numFmtId="0" fontId="70" fillId="7" borderId="6" xfId="0" applyFont="1" applyFill="1" applyBorder="1" applyAlignment="1">
      <alignment vertical="center" shrinkToFit="1"/>
    </xf>
    <xf numFmtId="0" fontId="0" fillId="7" borderId="6" xfId="0" applyFill="1" applyBorder="1">
      <alignment vertical="center"/>
    </xf>
    <xf numFmtId="0" fontId="0" fillId="7" borderId="6" xfId="0" applyFill="1" applyBorder="1" applyAlignment="1">
      <alignment vertical="center" wrapText="1"/>
    </xf>
    <xf numFmtId="0" fontId="71" fillId="6" borderId="6" xfId="0" applyFont="1" applyFill="1" applyBorder="1">
      <alignment vertical="center"/>
    </xf>
    <xf numFmtId="0" fontId="0" fillId="0" borderId="6" xfId="0" applyBorder="1" applyAlignment="1">
      <alignment vertical="center" wrapText="1"/>
    </xf>
    <xf numFmtId="0" fontId="0" fillId="0" borderId="169" xfId="0" applyBorder="1">
      <alignment vertical="center"/>
    </xf>
    <xf numFmtId="0" fontId="69" fillId="7" borderId="6" xfId="0" applyFont="1" applyFill="1" applyBorder="1" applyAlignment="1">
      <alignment vertical="center" wrapText="1"/>
    </xf>
    <xf numFmtId="0" fontId="68" fillId="8" borderId="6" xfId="0" applyFont="1" applyFill="1" applyBorder="1" applyAlignment="1">
      <alignment horizontal="center" vertical="center"/>
    </xf>
    <xf numFmtId="0" fontId="68" fillId="8" borderId="168" xfId="0" applyFont="1" applyFill="1" applyBorder="1" applyAlignment="1">
      <alignment horizontal="center" vertical="center"/>
    </xf>
    <xf numFmtId="0" fontId="0" fillId="0" borderId="194" xfId="0" applyBorder="1" applyAlignment="1">
      <alignment vertical="center" shrinkToFit="1"/>
    </xf>
    <xf numFmtId="0" fontId="0" fillId="0" borderId="11" xfId="0" applyBorder="1" applyAlignment="1">
      <alignment vertical="center" shrinkToFit="1"/>
    </xf>
    <xf numFmtId="0" fontId="2" fillId="0" borderId="19" xfId="0" applyFont="1" applyBorder="1" applyAlignment="1">
      <alignment horizontal="left" vertical="center" shrinkToFit="1"/>
    </xf>
    <xf numFmtId="0" fontId="0" fillId="4" borderId="6" xfId="0" applyFill="1" applyBorder="1" applyAlignment="1">
      <alignment vertical="center" shrinkToFit="1"/>
    </xf>
    <xf numFmtId="0" fontId="69" fillId="6" borderId="6" xfId="0" applyFont="1" applyFill="1" applyBorder="1" applyAlignment="1">
      <alignment vertical="center" shrinkToFit="1"/>
    </xf>
    <xf numFmtId="0" fontId="69" fillId="7" borderId="6" xfId="0" applyFont="1" applyFill="1" applyBorder="1" applyAlignment="1">
      <alignment vertical="center" shrinkToFit="1"/>
    </xf>
    <xf numFmtId="0" fontId="69" fillId="6" borderId="16" xfId="0" applyFont="1" applyFill="1" applyBorder="1">
      <alignment vertical="center"/>
    </xf>
    <xf numFmtId="0" fontId="69" fillId="7" borderId="16" xfId="0" applyFont="1" applyFill="1" applyBorder="1">
      <alignment vertical="center"/>
    </xf>
    <xf numFmtId="0" fontId="69" fillId="7" borderId="16" xfId="0" applyFont="1" applyFill="1" applyBorder="1" applyAlignment="1">
      <alignment vertical="center" wrapText="1"/>
    </xf>
    <xf numFmtId="0" fontId="0" fillId="7" borderId="16" xfId="0" applyFill="1" applyBorder="1">
      <alignment vertical="center"/>
    </xf>
    <xf numFmtId="0" fontId="0" fillId="7" borderId="16" xfId="0" applyFill="1" applyBorder="1" applyAlignment="1">
      <alignment vertical="center" wrapText="1"/>
    </xf>
    <xf numFmtId="0" fontId="0" fillId="0" borderId="16" xfId="0" applyBorder="1">
      <alignment vertical="center"/>
    </xf>
    <xf numFmtId="0" fontId="0" fillId="0" borderId="16" xfId="0" applyBorder="1" applyAlignment="1">
      <alignment vertical="center" wrapText="1"/>
    </xf>
    <xf numFmtId="0" fontId="68" fillId="9" borderId="6" xfId="0" applyFont="1" applyFill="1" applyBorder="1" applyAlignment="1">
      <alignment horizontal="center" vertical="center"/>
    </xf>
    <xf numFmtId="0" fontId="12" fillId="0" borderId="16" xfId="0" applyFont="1" applyBorder="1" applyAlignment="1">
      <alignment vertical="center" shrinkToFit="1"/>
    </xf>
    <xf numFmtId="0" fontId="12" fillId="0" borderId="5" xfId="0" applyFont="1" applyBorder="1" applyAlignment="1">
      <alignment vertical="center" shrinkToFit="1"/>
    </xf>
    <xf numFmtId="0" fontId="12" fillId="0" borderId="19" xfId="0" applyFont="1" applyBorder="1" applyAlignment="1">
      <alignment vertical="center" shrinkToFit="1"/>
    </xf>
    <xf numFmtId="0" fontId="12" fillId="0" borderId="37" xfId="0" applyFont="1" applyBorder="1" applyAlignment="1">
      <alignment vertical="center" shrinkToFit="1"/>
    </xf>
    <xf numFmtId="0" fontId="12" fillId="0" borderId="38" xfId="0" applyFont="1" applyBorder="1" applyAlignment="1">
      <alignment vertical="center" shrinkToFit="1"/>
    </xf>
    <xf numFmtId="0" fontId="12" fillId="0" borderId="26" xfId="0" applyFont="1" applyBorder="1" applyAlignment="1">
      <alignment vertical="center" shrinkToFit="1"/>
    </xf>
    <xf numFmtId="0" fontId="0" fillId="0" borderId="14" xfId="0" applyBorder="1" applyAlignment="1">
      <alignment vertical="center" shrinkToFit="1"/>
    </xf>
    <xf numFmtId="0" fontId="0" fillId="0" borderId="0" xfId="0" applyAlignment="1">
      <alignment vertical="top"/>
    </xf>
    <xf numFmtId="0" fontId="72" fillId="0" borderId="6" xfId="0" applyFont="1" applyBorder="1" applyAlignment="1">
      <alignment horizontal="left" vertical="center" shrinkToFit="1"/>
    </xf>
    <xf numFmtId="0" fontId="0" fillId="0" borderId="6" xfId="0" applyBorder="1" applyAlignment="1">
      <alignment horizontal="left" vertical="center" shrinkToFit="1"/>
    </xf>
    <xf numFmtId="0" fontId="69" fillId="10" borderId="200" xfId="0" applyFont="1" applyFill="1" applyBorder="1" applyAlignment="1">
      <alignment horizontal="left" vertical="center" wrapText="1"/>
    </xf>
    <xf numFmtId="0" fontId="69" fillId="10" borderId="200" xfId="0" applyFont="1" applyFill="1" applyBorder="1" applyAlignment="1">
      <alignment vertical="center" wrapText="1"/>
    </xf>
    <xf numFmtId="0" fontId="0" fillId="0" borderId="168" xfId="0" applyBorder="1">
      <alignment vertical="center"/>
    </xf>
    <xf numFmtId="0" fontId="69" fillId="10" borderId="200" xfId="0" applyFont="1" applyFill="1" applyBorder="1" applyAlignment="1">
      <alignment horizontal="left" vertical="center"/>
    </xf>
    <xf numFmtId="0" fontId="0" fillId="7" borderId="6" xfId="0" applyFill="1" applyBorder="1" applyAlignment="1">
      <alignment horizontal="left" vertical="center" shrinkToFit="1"/>
    </xf>
    <xf numFmtId="0" fontId="0" fillId="7" borderId="6" xfId="0" applyFill="1" applyBorder="1" applyAlignment="1">
      <alignment vertical="center" shrinkToFit="1"/>
    </xf>
    <xf numFmtId="0" fontId="70" fillId="6" borderId="6" xfId="0" applyFont="1" applyFill="1" applyBorder="1">
      <alignment vertical="center"/>
    </xf>
    <xf numFmtId="0" fontId="74" fillId="0" borderId="201" xfId="0" applyFont="1" applyBorder="1">
      <alignment vertical="center"/>
    </xf>
    <xf numFmtId="0" fontId="74" fillId="0" borderId="201" xfId="0" applyFont="1" applyBorder="1" applyAlignment="1">
      <alignment vertical="center" shrinkToFit="1"/>
    </xf>
    <xf numFmtId="0" fontId="69" fillId="7" borderId="168" xfId="0" applyFont="1" applyFill="1" applyBorder="1">
      <alignment vertical="center"/>
    </xf>
    <xf numFmtId="0" fontId="70" fillId="7" borderId="168" xfId="0" applyFont="1" applyFill="1" applyBorder="1" applyAlignment="1">
      <alignment vertical="center" shrinkToFit="1"/>
    </xf>
    <xf numFmtId="0" fontId="69" fillId="7" borderId="168" xfId="0" applyFont="1" applyFill="1" applyBorder="1" applyAlignment="1">
      <alignment vertical="center" wrapText="1"/>
    </xf>
    <xf numFmtId="0" fontId="8" fillId="0" borderId="6" xfId="0" applyFont="1" applyBorder="1" applyAlignment="1">
      <alignment vertical="center" shrinkToFit="1"/>
    </xf>
    <xf numFmtId="177" fontId="0" fillId="4" borderId="1" xfId="0" applyNumberFormat="1" applyFill="1" applyBorder="1">
      <alignment vertical="center"/>
    </xf>
    <xf numFmtId="0" fontId="69" fillId="10" borderId="200" xfId="0" applyFont="1" applyFill="1" applyBorder="1" applyAlignment="1">
      <alignment horizontal="right" vertical="center"/>
    </xf>
    <xf numFmtId="178" fontId="76" fillId="0" borderId="0" xfId="4" applyNumberFormat="1" applyFont="1" applyBorder="1">
      <alignment vertical="center"/>
    </xf>
    <xf numFmtId="0" fontId="77" fillId="0" borderId="0" xfId="0" applyFont="1">
      <alignment vertical="center"/>
    </xf>
    <xf numFmtId="0" fontId="0" fillId="0" borderId="195" xfId="0" applyBorder="1">
      <alignment vertical="center"/>
    </xf>
    <xf numFmtId="0" fontId="32" fillId="0" borderId="203" xfId="12" applyFont="1" applyBorder="1" applyAlignment="1">
      <alignment vertical="center"/>
    </xf>
    <xf numFmtId="0" fontId="2" fillId="0" borderId="203" xfId="9" applyBorder="1" applyAlignment="1">
      <alignment horizontal="center" vertical="center"/>
    </xf>
    <xf numFmtId="0" fontId="32" fillId="0" borderId="203" xfId="12" applyFont="1" applyBorder="1" applyAlignment="1">
      <alignment horizontal="left" vertical="center"/>
    </xf>
    <xf numFmtId="0" fontId="32" fillId="0" borderId="203" xfId="12" applyFont="1" applyBorder="1" applyAlignment="1">
      <alignment horizontal="right" vertical="center"/>
    </xf>
    <xf numFmtId="0" fontId="32" fillId="0" borderId="204" xfId="12" applyFont="1" applyBorder="1" applyAlignment="1">
      <alignment horizontal="right" vertical="center"/>
    </xf>
    <xf numFmtId="0" fontId="69" fillId="7" borderId="169" xfId="0" applyFont="1" applyFill="1" applyBorder="1">
      <alignment vertical="center"/>
    </xf>
    <xf numFmtId="0" fontId="8" fillId="0" borderId="169" xfId="0" applyFont="1" applyBorder="1" applyAlignment="1">
      <alignment vertical="center" shrinkToFit="1"/>
    </xf>
    <xf numFmtId="0" fontId="69" fillId="7" borderId="169" xfId="0" applyFont="1" applyFill="1" applyBorder="1" applyAlignment="1">
      <alignment vertical="center" wrapText="1"/>
    </xf>
    <xf numFmtId="0" fontId="74" fillId="0" borderId="205" xfId="0" applyFont="1" applyBorder="1">
      <alignment vertical="center"/>
    </xf>
    <xf numFmtId="0" fontId="74" fillId="0" borderId="205" xfId="0" applyFont="1" applyBorder="1" applyAlignment="1">
      <alignment vertical="center" shrinkToFit="1"/>
    </xf>
    <xf numFmtId="0" fontId="0" fillId="0" borderId="9" xfId="0" applyBorder="1">
      <alignment vertical="center"/>
    </xf>
    <xf numFmtId="0" fontId="69" fillId="7" borderId="0" xfId="0" applyFont="1" applyFill="1">
      <alignment vertical="center"/>
    </xf>
    <xf numFmtId="0" fontId="8" fillId="0" borderId="0" xfId="0" applyFont="1" applyAlignment="1">
      <alignment vertical="center" shrinkToFit="1"/>
    </xf>
    <xf numFmtId="0" fontId="69" fillId="7" borderId="0" xfId="0" applyFont="1" applyFill="1" applyAlignment="1">
      <alignment vertical="center" wrapText="1"/>
    </xf>
    <xf numFmtId="0" fontId="74" fillId="0" borderId="201" xfId="0" applyFont="1" applyBorder="1" applyAlignment="1">
      <alignment horizontal="left" vertical="center"/>
    </xf>
    <xf numFmtId="0" fontId="8" fillId="0" borderId="16" xfId="0" applyFont="1" applyBorder="1" applyAlignment="1">
      <alignment vertical="center" shrinkToFit="1"/>
    </xf>
    <xf numFmtId="0" fontId="69" fillId="7" borderId="19" xfId="0" applyFont="1" applyFill="1" applyBorder="1" applyAlignment="1">
      <alignment vertical="center" wrapText="1"/>
    </xf>
    <xf numFmtId="0" fontId="0" fillId="0" borderId="19" xfId="0" applyBorder="1">
      <alignment vertical="center"/>
    </xf>
    <xf numFmtId="0" fontId="0" fillId="0" borderId="0" xfId="0" applyAlignment="1">
      <alignment horizontal="left" vertical="center" shrinkToFit="1"/>
    </xf>
    <xf numFmtId="0" fontId="74" fillId="0" borderId="206" xfId="0" applyFont="1" applyBorder="1" applyAlignment="1">
      <alignment horizontal="center" vertical="center"/>
    </xf>
    <xf numFmtId="0" fontId="78" fillId="0" borderId="207" xfId="0" applyFont="1" applyBorder="1">
      <alignment vertical="center"/>
    </xf>
    <xf numFmtId="0" fontId="78" fillId="0" borderId="208" xfId="0" applyFont="1" applyBorder="1">
      <alignment vertical="center"/>
    </xf>
    <xf numFmtId="14" fontId="74" fillId="0" borderId="206" xfId="0" applyNumberFormat="1" applyFont="1" applyBorder="1" applyAlignment="1">
      <alignment horizontal="center" vertical="center"/>
    </xf>
    <xf numFmtId="49" fontId="74" fillId="0" borderId="206" xfId="0" applyNumberFormat="1" applyFont="1" applyBorder="1" applyAlignment="1">
      <alignment horizontal="center" vertical="center"/>
    </xf>
    <xf numFmtId="0" fontId="14" fillId="0" borderId="82" xfId="0" applyFont="1" applyBorder="1" applyAlignment="1" applyProtection="1">
      <alignment horizontal="left" vertical="center" shrinkToFit="1"/>
      <protection locked="0"/>
    </xf>
    <xf numFmtId="0" fontId="14" fillId="0" borderId="80" xfId="0" applyFont="1" applyBorder="1" applyAlignment="1" applyProtection="1">
      <alignment horizontal="left" vertical="center" shrinkToFit="1"/>
      <protection locked="0"/>
    </xf>
    <xf numFmtId="0" fontId="14" fillId="0" borderId="78" xfId="0" applyFont="1" applyBorder="1" applyAlignment="1" applyProtection="1">
      <alignment horizontal="left" vertical="center" shrinkToFit="1"/>
      <protection locked="0"/>
    </xf>
    <xf numFmtId="0" fontId="14" fillId="0" borderId="67" xfId="0" applyFont="1" applyBorder="1" applyAlignment="1" applyProtection="1">
      <alignment horizontal="left" vertical="center" shrinkToFit="1"/>
      <protection locked="0"/>
    </xf>
    <xf numFmtId="0" fontId="14" fillId="0" borderId="68" xfId="0" applyFont="1" applyBorder="1" applyAlignment="1">
      <alignment horizontal="center" vertical="center"/>
    </xf>
    <xf numFmtId="0" fontId="14" fillId="0" borderId="72" xfId="0" applyFont="1" applyBorder="1" applyAlignment="1">
      <alignment horizontal="center" vertical="center"/>
    </xf>
    <xf numFmtId="0" fontId="14" fillId="0" borderId="76" xfId="0" applyFont="1" applyBorder="1" applyAlignment="1" applyProtection="1">
      <alignment horizontal="left" vertical="center" shrinkToFit="1"/>
      <protection locked="0"/>
    </xf>
    <xf numFmtId="0" fontId="14" fillId="0" borderId="73" xfId="0" applyFont="1" applyBorder="1" applyAlignment="1" applyProtection="1">
      <alignment horizontal="left" vertical="center" shrinkToFit="1"/>
      <protection locked="0"/>
    </xf>
    <xf numFmtId="0" fontId="14" fillId="0" borderId="93" xfId="0" applyFont="1" applyBorder="1" applyAlignment="1" applyProtection="1">
      <alignment horizontal="right" vertical="center" shrinkToFit="1"/>
      <protection locked="0"/>
    </xf>
    <xf numFmtId="0" fontId="14" fillId="0" borderId="85" xfId="0" applyFont="1" applyBorder="1" applyAlignment="1" applyProtection="1">
      <alignment horizontal="right" vertical="center" shrinkToFit="1"/>
      <protection locked="0"/>
    </xf>
    <xf numFmtId="49" fontId="17" fillId="0" borderId="0" xfId="0" applyNumberFormat="1" applyFont="1" applyAlignment="1" applyProtection="1">
      <alignment horizontal="left" vertical="center" shrinkToFit="1"/>
      <protection locked="0"/>
    </xf>
    <xf numFmtId="177" fontId="17" fillId="0" borderId="86" xfId="3" applyNumberFormat="1" applyFont="1" applyBorder="1" applyAlignment="1" applyProtection="1">
      <alignment horizontal="left" vertical="top" wrapText="1" shrinkToFit="1"/>
      <protection locked="0"/>
    </xf>
    <xf numFmtId="177" fontId="17" fillId="0" borderId="87" xfId="3" applyNumberFormat="1" applyFont="1" applyBorder="1" applyAlignment="1" applyProtection="1">
      <alignment horizontal="left" vertical="top" wrapText="1" shrinkToFit="1"/>
      <protection locked="0"/>
    </xf>
    <xf numFmtId="177" fontId="17" fillId="0" borderId="88" xfId="3" applyNumberFormat="1" applyFont="1" applyBorder="1" applyAlignment="1" applyProtection="1">
      <alignment horizontal="left" vertical="top" wrapText="1" shrinkToFit="1"/>
      <protection locked="0"/>
    </xf>
    <xf numFmtId="177" fontId="17" fillId="0" borderId="89" xfId="3" applyNumberFormat="1" applyFont="1" applyBorder="1" applyAlignment="1" applyProtection="1">
      <alignment horizontal="left" vertical="top" wrapText="1" shrinkToFit="1"/>
      <protection locked="0"/>
    </xf>
    <xf numFmtId="177" fontId="17" fillId="0" borderId="0" xfId="3" applyNumberFormat="1" applyFont="1" applyBorder="1" applyAlignment="1" applyProtection="1">
      <alignment horizontal="left" vertical="top" wrapText="1" shrinkToFit="1"/>
      <protection locked="0"/>
    </xf>
    <xf numFmtId="177" fontId="17" fillId="0" borderId="66" xfId="3" applyNumberFormat="1" applyFont="1" applyBorder="1" applyAlignment="1" applyProtection="1">
      <alignment horizontal="left" vertical="top" wrapText="1" shrinkToFit="1"/>
      <protection locked="0"/>
    </xf>
    <xf numFmtId="177" fontId="17" fillId="0" borderId="90" xfId="3" applyNumberFormat="1" applyFont="1" applyBorder="1" applyAlignment="1" applyProtection="1">
      <alignment horizontal="left" vertical="top" wrapText="1" shrinkToFit="1"/>
      <protection locked="0"/>
    </xf>
    <xf numFmtId="177" fontId="17" fillId="0" borderId="91" xfId="3" applyNumberFormat="1" applyFont="1" applyBorder="1" applyAlignment="1" applyProtection="1">
      <alignment horizontal="left" vertical="top" wrapText="1" shrinkToFit="1"/>
      <protection locked="0"/>
    </xf>
    <xf numFmtId="177" fontId="17" fillId="0" borderId="92" xfId="3" applyNumberFormat="1" applyFont="1" applyBorder="1" applyAlignment="1" applyProtection="1">
      <alignment horizontal="left" vertical="top" wrapText="1" shrinkToFit="1"/>
      <protection locked="0"/>
    </xf>
    <xf numFmtId="49" fontId="17" fillId="0" borderId="0" xfId="0" applyNumberFormat="1" applyFont="1" applyAlignment="1" applyProtection="1">
      <alignment horizontal="center" vertical="center" shrinkToFit="1"/>
      <protection locked="0"/>
    </xf>
    <xf numFmtId="0" fontId="14" fillId="0" borderId="84" xfId="0" applyFont="1" applyBorder="1" applyAlignment="1">
      <alignment horizontal="center" vertical="center"/>
    </xf>
    <xf numFmtId="0" fontId="14" fillId="0" borderId="79" xfId="0" applyFont="1" applyBorder="1" applyAlignment="1">
      <alignment horizontal="center" vertical="center"/>
    </xf>
    <xf numFmtId="0" fontId="14" fillId="0" borderId="85" xfId="0" applyFont="1" applyBorder="1" applyAlignment="1">
      <alignment horizontal="center" vertical="center"/>
    </xf>
    <xf numFmtId="0" fontId="0" fillId="0" borderId="47" xfId="0" applyBorder="1" applyAlignment="1">
      <alignment horizontal="center" vertical="center" wrapText="1"/>
    </xf>
    <xf numFmtId="0" fontId="0" fillId="0" borderId="12" xfId="0" applyBorder="1" applyAlignment="1">
      <alignment horizontal="center" vertical="center" wrapText="1"/>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52" xfId="0" applyBorder="1" applyAlignment="1">
      <alignment horizontal="center" vertical="center"/>
    </xf>
    <xf numFmtId="0" fontId="7" fillId="0" borderId="5" xfId="0" applyFont="1" applyBorder="1" applyAlignment="1">
      <alignment horizontal="center"/>
    </xf>
    <xf numFmtId="0" fontId="0" fillId="4" borderId="5" xfId="0" applyFill="1" applyBorder="1" applyAlignment="1">
      <alignment horizontal="left"/>
    </xf>
    <xf numFmtId="0" fontId="5" fillId="0" borderId="0" xfId="0" applyFont="1" applyAlignment="1">
      <alignment horizontal="center" vertical="center"/>
    </xf>
    <xf numFmtId="0" fontId="4" fillId="4" borderId="4" xfId="0" applyFont="1" applyFill="1" applyBorder="1" applyAlignment="1">
      <alignment horizontal="center"/>
    </xf>
    <xf numFmtId="0" fontId="0" fillId="0" borderId="48" xfId="0" applyBorder="1" applyAlignment="1">
      <alignment horizontal="center" vertical="center" wrapText="1"/>
    </xf>
    <xf numFmtId="0" fontId="0" fillId="0" borderId="49" xfId="0" applyBorder="1" applyAlignment="1">
      <alignment horizontal="center" vertical="center"/>
    </xf>
    <xf numFmtId="0" fontId="0" fillId="0" borderId="12" xfId="0" applyBorder="1" applyAlignment="1">
      <alignment horizontal="center" vertical="center"/>
    </xf>
    <xf numFmtId="0" fontId="12" fillId="0" borderId="37" xfId="0" applyFont="1" applyBorder="1" applyAlignment="1">
      <alignment horizontal="center" vertical="center" shrinkToFit="1"/>
    </xf>
    <xf numFmtId="0" fontId="12" fillId="0" borderId="38" xfId="0" applyFont="1" applyBorder="1" applyAlignment="1">
      <alignment horizontal="center" vertical="center" shrinkToFit="1"/>
    </xf>
    <xf numFmtId="0" fontId="12" fillId="0" borderId="26" xfId="0" applyFont="1" applyBorder="1" applyAlignment="1">
      <alignment horizontal="center" vertical="center" shrinkToFit="1"/>
    </xf>
    <xf numFmtId="0" fontId="12" fillId="0" borderId="16" xfId="0" applyFont="1" applyBorder="1" applyAlignment="1">
      <alignment horizontal="center" vertical="center" shrinkToFit="1"/>
    </xf>
    <xf numFmtId="0" fontId="12" fillId="0" borderId="5" xfId="0" applyFont="1" applyBorder="1" applyAlignment="1">
      <alignment horizontal="center" vertical="center" shrinkToFit="1"/>
    </xf>
    <xf numFmtId="0" fontId="12" fillId="0" borderId="19" xfId="0" applyFont="1" applyBorder="1" applyAlignment="1">
      <alignment horizontal="center" vertical="center" shrinkToFit="1"/>
    </xf>
    <xf numFmtId="0" fontId="0" fillId="0" borderId="0" xfId="0" applyAlignment="1">
      <alignment wrapText="1" shrinkToFit="1"/>
    </xf>
    <xf numFmtId="0" fontId="0" fillId="0" borderId="0" xfId="0" applyAlignment="1">
      <alignment shrinkToFit="1"/>
    </xf>
    <xf numFmtId="0" fontId="0" fillId="0" borderId="39" xfId="0"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wrapText="1"/>
    </xf>
    <xf numFmtId="0" fontId="0" fillId="0" borderId="42"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177" fontId="0" fillId="0" borderId="43" xfId="0" applyNumberFormat="1" applyBorder="1" applyAlignment="1">
      <alignment horizontal="center" vertical="center"/>
    </xf>
    <xf numFmtId="177" fontId="0" fillId="0" borderId="45" xfId="0" applyNumberFormat="1" applyBorder="1" applyAlignment="1">
      <alignment horizontal="center" vertical="center"/>
    </xf>
    <xf numFmtId="0" fontId="0" fillId="0" borderId="47" xfId="0" applyBorder="1" applyAlignment="1">
      <alignment horizontal="center" vertical="center"/>
    </xf>
    <xf numFmtId="0" fontId="0" fillId="0" borderId="168" xfId="0" applyBorder="1" applyAlignment="1">
      <alignment horizontal="center" vertical="center"/>
    </xf>
    <xf numFmtId="177" fontId="0" fillId="0" borderId="47" xfId="0" applyNumberFormat="1" applyBorder="1" applyAlignment="1">
      <alignment horizontal="center" vertical="center" shrinkToFit="1"/>
    </xf>
    <xf numFmtId="177" fontId="0" fillId="0" borderId="12" xfId="0" applyNumberFormat="1" applyBorder="1" applyAlignment="1">
      <alignment horizontal="center" vertical="center" shrinkToFit="1"/>
    </xf>
    <xf numFmtId="0" fontId="0" fillId="0" borderId="25" xfId="0" applyBorder="1" applyAlignment="1">
      <alignment horizontal="center" vertical="center"/>
    </xf>
    <xf numFmtId="0" fontId="0" fillId="0" borderId="26" xfId="0" applyBorder="1" applyAlignment="1">
      <alignment horizontal="center" vertical="center"/>
    </xf>
    <xf numFmtId="179" fontId="13" fillId="0" borderId="0" xfId="0" applyNumberFormat="1" applyFont="1" applyAlignment="1">
      <alignment horizontal="right"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4" xfId="0" applyFont="1" applyBorder="1" applyAlignment="1">
      <alignment horizontal="center" vertical="center"/>
    </xf>
    <xf numFmtId="0" fontId="13" fillId="0" borderId="20" xfId="0" applyFont="1" applyBorder="1" applyAlignment="1">
      <alignment horizontal="center" vertical="center"/>
    </xf>
    <xf numFmtId="0" fontId="13" fillId="0" borderId="55" xfId="0" applyFont="1" applyBorder="1" applyAlignment="1">
      <alignment horizontal="center" vertical="center"/>
    </xf>
    <xf numFmtId="0" fontId="13" fillId="0" borderId="17" xfId="0" applyFont="1" applyBorder="1" applyAlignment="1">
      <alignment horizontal="center" vertical="center"/>
    </xf>
    <xf numFmtId="0" fontId="23" fillId="0" borderId="0" xfId="0" applyFont="1" applyAlignment="1">
      <alignment horizontal="center" vertical="center"/>
    </xf>
    <xf numFmtId="0" fontId="23" fillId="0" borderId="27" xfId="0" applyFont="1" applyBorder="1" applyAlignment="1">
      <alignment horizontal="center" vertical="center"/>
    </xf>
    <xf numFmtId="0" fontId="21" fillId="0" borderId="0" xfId="0" applyFont="1" applyAlignment="1">
      <alignment horizontal="center" vertical="center"/>
    </xf>
    <xf numFmtId="0" fontId="21" fillId="0" borderId="27" xfId="0" applyFont="1" applyBorder="1" applyAlignment="1">
      <alignment horizontal="center" vertical="center"/>
    </xf>
    <xf numFmtId="176" fontId="21" fillId="0" borderId="0" xfId="0" applyNumberFormat="1" applyFont="1" applyAlignment="1">
      <alignment horizontal="right" vertical="center"/>
    </xf>
    <xf numFmtId="176" fontId="21" fillId="0" borderId="27" xfId="0" applyNumberFormat="1" applyFont="1" applyBorder="1" applyAlignment="1">
      <alignment horizontal="right" vertical="center"/>
    </xf>
    <xf numFmtId="0" fontId="20" fillId="0" borderId="0" xfId="0" applyFont="1" applyAlignment="1">
      <alignment horizontal="center" vertical="center"/>
    </xf>
    <xf numFmtId="0" fontId="21" fillId="0" borderId="4" xfId="0" applyFont="1" applyBorder="1" applyAlignment="1">
      <alignment horizontal="center" vertical="center"/>
    </xf>
    <xf numFmtId="0" fontId="22" fillId="0" borderId="0" xfId="0" applyFont="1" applyAlignment="1">
      <alignment horizontal="left" vertical="center"/>
    </xf>
    <xf numFmtId="0" fontId="13" fillId="0" borderId="6" xfId="0" applyFont="1" applyBorder="1" applyAlignment="1">
      <alignment horizontal="center" vertical="center"/>
    </xf>
    <xf numFmtId="0" fontId="0" fillId="0" borderId="0" xfId="0" applyAlignment="1">
      <alignment horizontal="left" vertical="center" wrapText="1" shrinkToFit="1"/>
    </xf>
    <xf numFmtId="0" fontId="0" fillId="0" borderId="6" xfId="0" applyBorder="1" applyAlignment="1">
      <alignment horizontal="center" vertical="center"/>
    </xf>
    <xf numFmtId="0" fontId="0" fillId="0" borderId="0" xfId="0" applyAlignment="1">
      <alignment horizontal="left" vertical="center" shrinkToFit="1"/>
    </xf>
    <xf numFmtId="0" fontId="0" fillId="0" borderId="0" xfId="0" applyAlignment="1">
      <alignment horizontal="left" vertical="center"/>
    </xf>
    <xf numFmtId="0" fontId="4" fillId="0" borderId="4" xfId="0" applyFont="1" applyBorder="1" applyAlignment="1">
      <alignment horizontal="center"/>
    </xf>
    <xf numFmtId="0" fontId="0" fillId="0" borderId="5" xfId="0" applyBorder="1" applyAlignment="1">
      <alignment horizontal="left"/>
    </xf>
    <xf numFmtId="0" fontId="0" fillId="0" borderId="47" xfId="0" applyBorder="1" applyAlignment="1">
      <alignment horizontal="center" vertical="center" shrinkToFit="1"/>
    </xf>
    <xf numFmtId="0" fontId="0" fillId="0" borderId="12" xfId="0" applyBorder="1" applyAlignment="1">
      <alignment horizontal="center" vertical="center" shrinkToFit="1"/>
    </xf>
    <xf numFmtId="0" fontId="0" fillId="0" borderId="0" xfId="0" applyAlignment="1">
      <alignment vertical="center" wrapText="1" shrinkToFit="1"/>
    </xf>
    <xf numFmtId="177" fontId="0" fillId="0" borderId="41" xfId="0" applyNumberFormat="1" applyBorder="1" applyAlignment="1">
      <alignment horizontal="center" vertical="center" wrapText="1"/>
    </xf>
    <xf numFmtId="177" fontId="0" fillId="0" borderId="42" xfId="0" applyNumberFormat="1" applyBorder="1" applyAlignment="1">
      <alignment horizontal="center" vertical="center" wrapText="1"/>
    </xf>
    <xf numFmtId="0" fontId="0" fillId="0" borderId="42" xfId="0" applyBorder="1" applyAlignment="1">
      <alignment horizontal="center" vertical="center" wrapText="1"/>
    </xf>
    <xf numFmtId="0" fontId="8" fillId="0" borderId="0" xfId="0" applyFont="1" applyAlignment="1">
      <alignment horizontal="center" vertical="center" wrapText="1"/>
    </xf>
    <xf numFmtId="178" fontId="8" fillId="0" borderId="33" xfId="0" applyNumberFormat="1" applyFont="1" applyBorder="1" applyAlignment="1">
      <alignment horizontal="center" vertical="center" wrapText="1"/>
    </xf>
    <xf numFmtId="0" fontId="12" fillId="0" borderId="56" xfId="6" applyFont="1" applyBorder="1" applyAlignment="1">
      <alignment horizontal="center" vertical="center"/>
    </xf>
    <xf numFmtId="0" fontId="12" fillId="0" borderId="57" xfId="6" applyFont="1" applyBorder="1" applyAlignment="1">
      <alignment horizontal="center" vertical="center"/>
    </xf>
    <xf numFmtId="0" fontId="0" fillId="0" borderId="56" xfId="6" applyFont="1" applyBorder="1" applyAlignment="1">
      <alignment horizontal="center" vertical="center"/>
    </xf>
    <xf numFmtId="0" fontId="2" fillId="0" borderId="36" xfId="6" applyBorder="1" applyAlignment="1">
      <alignment horizontal="center" vertical="center"/>
    </xf>
    <xf numFmtId="0" fontId="12" fillId="0" borderId="36" xfId="6" applyFont="1" applyBorder="1" applyAlignment="1">
      <alignment horizontal="center" vertical="center"/>
    </xf>
    <xf numFmtId="0" fontId="0" fillId="0" borderId="57" xfId="6" applyFont="1" applyBorder="1" applyAlignment="1">
      <alignment horizontal="center" vertical="center"/>
    </xf>
    <xf numFmtId="0" fontId="24" fillId="0" borderId="41" xfId="0" applyFont="1" applyBorder="1" applyAlignment="1">
      <alignment horizontal="center" vertical="center"/>
    </xf>
    <xf numFmtId="0" fontId="12" fillId="0" borderId="41" xfId="0" applyFont="1" applyBorder="1" applyAlignment="1">
      <alignment horizontal="center" vertical="center"/>
    </xf>
    <xf numFmtId="0" fontId="12" fillId="0" borderId="42" xfId="0" applyFont="1" applyBorder="1" applyAlignment="1">
      <alignment horizontal="center" vertical="center"/>
    </xf>
    <xf numFmtId="0" fontId="12" fillId="0" borderId="32" xfId="6" applyFont="1" applyBorder="1" applyAlignment="1">
      <alignment horizontal="center" vertical="center"/>
    </xf>
    <xf numFmtId="0" fontId="12" fillId="0" borderId="29" xfId="6" applyFont="1" applyBorder="1" applyAlignment="1">
      <alignment horizontal="center" vertical="center"/>
    </xf>
    <xf numFmtId="0" fontId="12" fillId="0" borderId="35" xfId="6" applyFont="1" applyBorder="1" applyAlignment="1">
      <alignment horizontal="center" vertical="center"/>
    </xf>
    <xf numFmtId="0" fontId="12" fillId="0" borderId="31" xfId="6" applyFont="1" applyBorder="1" applyAlignment="1">
      <alignment horizontal="center" vertical="center"/>
    </xf>
    <xf numFmtId="0" fontId="12" fillId="0" borderId="32" xfId="6" applyFont="1" applyBorder="1" applyAlignment="1">
      <alignment horizontal="center" vertical="center" shrinkToFit="1"/>
    </xf>
    <xf numFmtId="0" fontId="0" fillId="0" borderId="28" xfId="0" applyBorder="1" applyAlignment="1">
      <alignment horizontal="center" vertical="center" shrinkToFit="1"/>
    </xf>
    <xf numFmtId="0" fontId="0" fillId="0" borderId="29" xfId="0" applyBorder="1" applyAlignment="1">
      <alignment horizontal="center" vertical="center" shrinkToFit="1"/>
    </xf>
    <xf numFmtId="0" fontId="0" fillId="0" borderId="35" xfId="0" applyBorder="1" applyAlignment="1">
      <alignment horizontal="center" vertical="center" shrinkToFit="1"/>
    </xf>
    <xf numFmtId="0" fontId="0" fillId="0" borderId="30" xfId="0" applyBorder="1" applyAlignment="1">
      <alignment horizontal="center" vertical="center" shrinkToFit="1"/>
    </xf>
    <xf numFmtId="0" fontId="0" fillId="0" borderId="31" xfId="0" applyBorder="1" applyAlignment="1">
      <alignment horizontal="center" vertical="center" shrinkToFit="1"/>
    </xf>
    <xf numFmtId="0" fontId="21" fillId="0" borderId="0" xfId="6" applyFont="1" applyAlignment="1">
      <alignment horizontal="center" vertical="center"/>
    </xf>
    <xf numFmtId="0" fontId="12" fillId="0" borderId="41" xfId="0" applyFont="1" applyBorder="1" applyAlignment="1">
      <alignment horizontal="center" vertical="center" shrinkToFit="1"/>
    </xf>
    <xf numFmtId="0" fontId="12" fillId="0" borderId="42" xfId="0" applyFont="1" applyBorder="1" applyAlignment="1">
      <alignment horizontal="center" vertical="center" shrinkToFit="1"/>
    </xf>
    <xf numFmtId="0" fontId="0" fillId="0" borderId="195" xfId="0" applyBorder="1" applyAlignment="1">
      <alignment horizontal="center" vertical="center" wrapText="1" shrinkToFit="1"/>
    </xf>
    <xf numFmtId="0" fontId="0" fillId="0" borderId="0" xfId="0" applyAlignment="1">
      <alignment horizontal="center" vertical="center" wrapText="1" shrinkToFit="1"/>
    </xf>
    <xf numFmtId="0" fontId="0" fillId="0" borderId="0" xfId="0" applyAlignment="1">
      <alignment horizontal="center" wrapText="1" shrinkToFit="1"/>
    </xf>
    <xf numFmtId="0" fontId="0" fillId="0" borderId="180" xfId="0" applyBorder="1" applyAlignment="1">
      <alignment horizontal="center" wrapText="1"/>
    </xf>
    <xf numFmtId="0" fontId="0" fillId="0" borderId="183" xfId="0" applyBorder="1" applyAlignment="1">
      <alignment horizontal="center" vertical="center" wrapText="1" shrinkToFit="1"/>
    </xf>
    <xf numFmtId="0" fontId="0" fillId="0" borderId="27" xfId="0" applyBorder="1" applyAlignment="1">
      <alignment horizontal="center" vertical="center" wrapText="1" shrinkToFit="1"/>
    </xf>
    <xf numFmtId="0" fontId="0" fillId="0" borderId="27" xfId="0" applyBorder="1" applyAlignment="1">
      <alignment horizontal="center" wrapText="1" shrinkToFit="1"/>
    </xf>
    <xf numFmtId="0" fontId="0" fillId="0" borderId="186" xfId="0" applyBorder="1" applyAlignment="1">
      <alignment horizontal="center" wrapText="1"/>
    </xf>
    <xf numFmtId="0" fontId="0" fillId="0" borderId="179" xfId="0" applyBorder="1" applyAlignment="1">
      <alignment horizontal="center" vertical="center"/>
    </xf>
    <xf numFmtId="0" fontId="0" fillId="0" borderId="0" xfId="0" applyAlignment="1">
      <alignment horizontal="center" vertical="center"/>
    </xf>
    <xf numFmtId="0" fontId="0" fillId="0" borderId="181" xfId="0" applyBorder="1" applyAlignment="1">
      <alignment horizontal="center" vertical="center"/>
    </xf>
    <xf numFmtId="0" fontId="0" fillId="0" borderId="27" xfId="0" applyBorder="1" applyAlignment="1">
      <alignment horizontal="center" vertical="center"/>
    </xf>
    <xf numFmtId="0" fontId="0" fillId="0" borderId="196" xfId="0" applyBorder="1" applyAlignment="1">
      <alignment horizontal="center" vertical="center"/>
    </xf>
    <xf numFmtId="0" fontId="0" fillId="0" borderId="182" xfId="0" applyBorder="1" applyAlignment="1">
      <alignment horizontal="center" vertical="center"/>
    </xf>
    <xf numFmtId="0" fontId="0" fillId="0" borderId="5" xfId="0" applyBorder="1" applyAlignment="1">
      <alignment horizontal="right" vertical="center" shrinkToFit="1"/>
    </xf>
    <xf numFmtId="0" fontId="0" fillId="0" borderId="19" xfId="0" applyBorder="1" applyAlignment="1">
      <alignment horizontal="right" vertical="center" shrinkToFit="1"/>
    </xf>
    <xf numFmtId="0" fontId="8" fillId="0" borderId="55" xfId="0" applyFont="1" applyBorder="1" applyAlignment="1">
      <alignment horizontal="left" vertical="center"/>
    </xf>
    <xf numFmtId="0" fontId="0" fillId="0" borderId="53" xfId="0" applyBorder="1" applyAlignment="1">
      <alignment horizontal="left" vertical="center"/>
    </xf>
    <xf numFmtId="0" fontId="0" fillId="0" borderId="54" xfId="0" applyBorder="1" applyAlignment="1">
      <alignment horizontal="left" vertical="center"/>
    </xf>
    <xf numFmtId="0" fontId="0" fillId="0" borderId="183" xfId="0" applyBorder="1" applyAlignment="1">
      <alignment horizontal="left" vertical="center"/>
    </xf>
    <xf numFmtId="0" fontId="0" fillId="0" borderId="27" xfId="0" applyBorder="1" applyAlignment="1">
      <alignment horizontal="left" vertical="center"/>
    </xf>
    <xf numFmtId="0" fontId="0" fillId="0" borderId="182" xfId="0" applyBorder="1" applyAlignment="1">
      <alignment horizontal="left" vertical="center"/>
    </xf>
    <xf numFmtId="0" fontId="0" fillId="0" borderId="55" xfId="0" applyBorder="1" applyAlignment="1">
      <alignment horizontal="center"/>
    </xf>
    <xf numFmtId="0" fontId="0" fillId="0" borderId="53" xfId="0" applyBorder="1" applyAlignment="1">
      <alignment horizontal="center"/>
    </xf>
    <xf numFmtId="0" fontId="0" fillId="0" borderId="54" xfId="0" applyBorder="1" applyAlignment="1">
      <alignment horizontal="center"/>
    </xf>
    <xf numFmtId="0" fontId="0" fillId="0" borderId="183" xfId="0" applyBorder="1" applyAlignment="1">
      <alignment horizontal="center"/>
    </xf>
    <xf numFmtId="0" fontId="0" fillId="0" borderId="27" xfId="0" applyBorder="1" applyAlignment="1">
      <alignment horizontal="center"/>
    </xf>
    <xf numFmtId="0" fontId="0" fillId="0" borderId="182" xfId="0" applyBorder="1" applyAlignment="1">
      <alignment horizontal="center"/>
    </xf>
    <xf numFmtId="0" fontId="0" fillId="0" borderId="184" xfId="0" applyBorder="1" applyAlignment="1">
      <alignment horizontal="right" vertical="center" shrinkToFit="1"/>
    </xf>
    <xf numFmtId="0" fontId="0" fillId="0" borderId="185" xfId="0" applyBorder="1" applyAlignment="1">
      <alignment horizontal="right" vertical="center" shrinkToFit="1"/>
    </xf>
    <xf numFmtId="49" fontId="0" fillId="0" borderId="179" xfId="0" applyNumberFormat="1" applyBorder="1" applyAlignment="1">
      <alignment horizontal="center" vertical="center"/>
    </xf>
    <xf numFmtId="49" fontId="0" fillId="0" borderId="0" xfId="0" applyNumberFormat="1" applyAlignment="1">
      <alignment horizontal="center" vertical="center"/>
    </xf>
    <xf numFmtId="49" fontId="0" fillId="0" borderId="196" xfId="0" applyNumberFormat="1" applyBorder="1" applyAlignment="1">
      <alignment horizontal="center" vertical="center"/>
    </xf>
    <xf numFmtId="0" fontId="8" fillId="0" borderId="195" xfId="0" applyFont="1" applyBorder="1" applyAlignment="1">
      <alignment horizontal="left" vertical="center"/>
    </xf>
    <xf numFmtId="0" fontId="0" fillId="0" borderId="196" xfId="0" applyBorder="1" applyAlignment="1">
      <alignment horizontal="left" vertical="center"/>
    </xf>
    <xf numFmtId="0" fontId="0" fillId="0" borderId="197" xfId="0" applyBorder="1" applyAlignment="1">
      <alignment horizontal="left" vertical="center"/>
    </xf>
    <xf numFmtId="0" fontId="0" fillId="0" borderId="198" xfId="0" applyBorder="1" applyAlignment="1">
      <alignment horizontal="left" vertical="center"/>
    </xf>
    <xf numFmtId="0" fontId="0" fillId="0" borderId="199" xfId="0" applyBorder="1" applyAlignment="1">
      <alignment horizontal="left" vertical="center"/>
    </xf>
    <xf numFmtId="0" fontId="0" fillId="0" borderId="187" xfId="0" applyBorder="1" applyAlignment="1">
      <alignment horizontal="center" vertical="center" shrinkToFit="1"/>
    </xf>
    <xf numFmtId="0" fontId="0" fillId="0" borderId="188" xfId="0" applyBorder="1" applyAlignment="1">
      <alignment horizontal="center" vertical="center" shrinkToFit="1"/>
    </xf>
    <xf numFmtId="182" fontId="0" fillId="0" borderId="188" xfId="0" applyNumberFormat="1" applyBorder="1" applyAlignment="1">
      <alignment horizontal="center" vertical="center" shrinkToFit="1"/>
    </xf>
    <xf numFmtId="182" fontId="0" fillId="0" borderId="189" xfId="0" applyNumberFormat="1" applyBorder="1" applyAlignment="1">
      <alignment horizontal="center" vertical="center" shrinkToFit="1"/>
    </xf>
    <xf numFmtId="0" fontId="44" fillId="0" borderId="121" xfId="8" applyFont="1" applyBorder="1" applyAlignment="1">
      <alignment horizontal="center"/>
    </xf>
    <xf numFmtId="0" fontId="35" fillId="0" borderId="119" xfId="8" applyFont="1" applyBorder="1" applyAlignment="1">
      <alignment horizontal="center" vertical="center"/>
    </xf>
    <xf numFmtId="0" fontId="35" fillId="0" borderId="118" xfId="8" applyFont="1" applyBorder="1" applyAlignment="1">
      <alignment horizontal="center" vertical="center"/>
    </xf>
    <xf numFmtId="0" fontId="35" fillId="0" borderId="117" xfId="8" applyFont="1" applyBorder="1" applyAlignment="1">
      <alignment horizontal="center" vertical="center"/>
    </xf>
    <xf numFmtId="0" fontId="35" fillId="0" borderId="116" xfId="8" applyFont="1" applyBorder="1" applyAlignment="1">
      <alignment horizontal="center" vertical="center"/>
    </xf>
    <xf numFmtId="0" fontId="35" fillId="0" borderId="115" xfId="8" applyFont="1" applyBorder="1" applyAlignment="1">
      <alignment horizontal="center" vertical="center"/>
    </xf>
    <xf numFmtId="0" fontId="35" fillId="0" borderId="114" xfId="8" applyFont="1" applyBorder="1" applyAlignment="1">
      <alignment horizontal="center" vertical="center"/>
    </xf>
    <xf numFmtId="0" fontId="43" fillId="0" borderId="0" xfId="8" applyFont="1" applyAlignment="1">
      <alignment horizontal="center" vertical="center"/>
    </xf>
    <xf numFmtId="0" fontId="42" fillId="0" borderId="0" xfId="8" applyFont="1" applyAlignment="1">
      <alignment horizontal="center" vertical="center"/>
    </xf>
    <xf numFmtId="0" fontId="35" fillId="0" borderId="97" xfId="8" applyFont="1" applyBorder="1" applyAlignment="1">
      <alignment horizontal="center" vertical="center" wrapText="1"/>
    </xf>
    <xf numFmtId="0" fontId="36" fillId="0" borderId="97" xfId="8" applyFont="1" applyBorder="1" applyAlignment="1">
      <alignment horizontal="center" vertical="center" wrapText="1"/>
    </xf>
    <xf numFmtId="0" fontId="35" fillId="0" borderId="97" xfId="8" applyFont="1" applyBorder="1" applyAlignment="1">
      <alignment horizontal="center" vertical="center"/>
    </xf>
    <xf numFmtId="0" fontId="35" fillId="0" borderId="96" xfId="8" applyFont="1" applyBorder="1" applyAlignment="1">
      <alignment horizontal="center" vertical="center" wrapText="1"/>
    </xf>
    <xf numFmtId="0" fontId="35" fillId="0" borderId="94" xfId="8" applyFont="1" applyBorder="1" applyAlignment="1">
      <alignment horizontal="center" vertical="center" wrapText="1"/>
    </xf>
    <xf numFmtId="0" fontId="35" fillId="0" borderId="97" xfId="8" applyFont="1" applyBorder="1" applyAlignment="1" applyProtection="1">
      <alignment horizontal="center" vertical="center"/>
      <protection locked="0"/>
    </xf>
    <xf numFmtId="0" fontId="35" fillId="0" borderId="111" xfId="8" applyFont="1" applyBorder="1" applyAlignment="1" applyProtection="1">
      <alignment horizontal="center" vertical="center"/>
      <protection locked="0"/>
    </xf>
    <xf numFmtId="0" fontId="35" fillId="0" borderId="110" xfId="8" applyFont="1" applyBorder="1" applyAlignment="1" applyProtection="1">
      <alignment horizontal="center" vertical="center"/>
      <protection locked="0"/>
    </xf>
    <xf numFmtId="0" fontId="37" fillId="0" borderId="97" xfId="8" applyFont="1" applyBorder="1" applyAlignment="1">
      <alignment horizontal="center" vertical="center"/>
    </xf>
    <xf numFmtId="0" fontId="35" fillId="0" borderId="0" xfId="8" applyFont="1" applyAlignment="1">
      <alignment horizontal="center" vertical="top" textRotation="255" wrapText="1"/>
    </xf>
    <xf numFmtId="0" fontId="36" fillId="0" borderId="97" xfId="8" applyFont="1" applyBorder="1" applyAlignment="1" applyProtection="1">
      <alignment horizontal="center" vertical="center"/>
      <protection locked="0"/>
    </xf>
    <xf numFmtId="0" fontId="35" fillId="0" borderId="95" xfId="8" applyFont="1" applyBorder="1" applyAlignment="1" applyProtection="1">
      <alignment vertical="center"/>
      <protection locked="0"/>
    </xf>
    <xf numFmtId="0" fontId="35" fillId="0" borderId="102" xfId="8" applyFont="1" applyBorder="1" applyAlignment="1" applyProtection="1">
      <alignment horizontal="center" vertical="center"/>
      <protection locked="0"/>
    </xf>
    <xf numFmtId="0" fontId="36" fillId="0" borderId="97" xfId="8" applyFont="1" applyBorder="1" applyAlignment="1" applyProtection="1">
      <alignment horizontal="center" vertical="center" wrapText="1"/>
      <protection locked="0"/>
    </xf>
    <xf numFmtId="0" fontId="35" fillId="0" borderId="96" xfId="8" applyFont="1" applyBorder="1" applyAlignment="1" applyProtection="1">
      <alignment horizontal="center" vertical="center"/>
      <protection locked="0"/>
    </xf>
    <xf numFmtId="0" fontId="35" fillId="0" borderId="95" xfId="8" applyFont="1" applyBorder="1" applyAlignment="1" applyProtection="1">
      <alignment horizontal="center" vertical="center"/>
      <protection locked="0"/>
    </xf>
    <xf numFmtId="0" fontId="35" fillId="0" borderId="94" xfId="8" applyFont="1" applyBorder="1" applyAlignment="1" applyProtection="1">
      <alignment horizontal="center" vertical="center"/>
      <protection locked="0"/>
    </xf>
    <xf numFmtId="0" fontId="35" fillId="0" borderId="97" xfId="8" applyFont="1" applyBorder="1" applyAlignment="1" applyProtection="1">
      <alignment horizontal="right" vertical="center" wrapText="1"/>
      <protection locked="0"/>
    </xf>
    <xf numFmtId="0" fontId="35" fillId="0" borderId="97" xfId="8" applyFont="1" applyBorder="1" applyAlignment="1" applyProtection="1">
      <alignment horizontal="right" vertical="center"/>
      <protection locked="0"/>
    </xf>
    <xf numFmtId="0" fontId="2" fillId="0" borderId="95" xfId="8" applyBorder="1" applyAlignment="1" applyProtection="1">
      <alignment vertical="center"/>
      <protection locked="0"/>
    </xf>
    <xf numFmtId="0" fontId="2" fillId="0" borderId="94" xfId="8" applyBorder="1" applyAlignment="1" applyProtection="1">
      <alignment vertical="center"/>
      <protection locked="0"/>
    </xf>
    <xf numFmtId="0" fontId="34" fillId="0" borderId="125" xfId="8" applyFont="1" applyBorder="1" applyAlignment="1">
      <alignment horizontal="center"/>
    </xf>
    <xf numFmtId="0" fontId="34" fillId="0" borderId="124" xfId="8" applyFont="1" applyBorder="1" applyAlignment="1">
      <alignment horizontal="center"/>
    </xf>
    <xf numFmtId="0" fontId="34" fillId="0" borderId="123" xfId="8" applyFont="1" applyBorder="1" applyAlignment="1">
      <alignment horizontal="center"/>
    </xf>
    <xf numFmtId="0" fontId="35" fillId="0" borderId="96" xfId="8" applyFont="1" applyBorder="1" applyAlignment="1" applyProtection="1">
      <alignment vertical="center"/>
      <protection locked="0"/>
    </xf>
    <xf numFmtId="0" fontId="35" fillId="0" borderId="94" xfId="8" applyFont="1" applyBorder="1" applyAlignment="1" applyProtection="1">
      <alignment vertical="center"/>
      <protection locked="0"/>
    </xf>
    <xf numFmtId="0" fontId="36" fillId="5" borderId="97" xfId="8" applyFont="1" applyFill="1" applyBorder="1" applyAlignment="1">
      <alignment horizontal="center" vertical="center"/>
    </xf>
    <xf numFmtId="0" fontId="35" fillId="0" borderId="0" xfId="8" applyFont="1" applyAlignment="1" applyProtection="1">
      <alignment horizontal="center"/>
      <protection locked="0"/>
    </xf>
    <xf numFmtId="0" fontId="41" fillId="0" borderId="97" xfId="8" applyFont="1" applyBorder="1" applyAlignment="1">
      <alignment horizontal="center" vertical="center" wrapText="1"/>
    </xf>
    <xf numFmtId="0" fontId="35" fillId="0" borderId="0" xfId="8" applyFont="1" applyAlignment="1" applyProtection="1">
      <alignment horizontal="center" vertical="center"/>
      <protection locked="0"/>
    </xf>
    <xf numFmtId="0" fontId="36" fillId="0" borderId="97" xfId="8" applyFont="1" applyBorder="1" applyAlignment="1">
      <alignment horizontal="center" vertical="center"/>
    </xf>
    <xf numFmtId="0" fontId="36" fillId="0" borderId="125" xfId="8" applyFont="1" applyBorder="1" applyAlignment="1">
      <alignment horizontal="center" vertical="center"/>
    </xf>
    <xf numFmtId="0" fontId="36" fillId="0" borderId="124" xfId="8" applyFont="1" applyBorder="1" applyAlignment="1">
      <alignment horizontal="center" vertical="center"/>
    </xf>
    <xf numFmtId="0" fontId="36" fillId="0" borderId="123" xfId="8" applyFont="1" applyBorder="1" applyAlignment="1">
      <alignment horizontal="center" vertical="center"/>
    </xf>
    <xf numFmtId="0" fontId="35" fillId="0" borderId="103" xfId="8" applyFont="1" applyBorder="1" applyAlignment="1">
      <alignment horizontal="left" vertical="center"/>
    </xf>
    <xf numFmtId="0" fontId="35" fillId="0" borderId="102" xfId="8" applyFont="1" applyBorder="1"/>
    <xf numFmtId="0" fontId="35" fillId="0" borderId="101" xfId="8" applyFont="1" applyBorder="1"/>
    <xf numFmtId="0" fontId="35" fillId="0" borderId="96" xfId="8" applyFont="1" applyBorder="1" applyAlignment="1" applyProtection="1">
      <alignment vertical="center" wrapText="1"/>
      <protection locked="0"/>
    </xf>
    <xf numFmtId="0" fontId="35" fillId="0" borderId="95" xfId="8" applyFont="1" applyBorder="1" applyAlignment="1" applyProtection="1">
      <alignment vertical="center" wrapText="1"/>
      <protection locked="0"/>
    </xf>
    <xf numFmtId="0" fontId="35" fillId="0" borderId="94" xfId="8" applyFont="1" applyBorder="1" applyAlignment="1" applyProtection="1">
      <alignment vertical="center" wrapText="1"/>
      <protection locked="0"/>
    </xf>
    <xf numFmtId="0" fontId="35" fillId="0" borderId="95" xfId="8" applyFont="1" applyBorder="1" applyAlignment="1">
      <alignment horizontal="center" vertical="center" wrapText="1"/>
    </xf>
    <xf numFmtId="0" fontId="37" fillId="5" borderId="96" xfId="8" applyFont="1" applyFill="1" applyBorder="1" applyAlignment="1">
      <alignment horizontal="left" vertical="center" indent="1"/>
    </xf>
    <xf numFmtId="0" fontId="37" fillId="5" borderId="95" xfId="8" applyFont="1" applyFill="1" applyBorder="1" applyAlignment="1">
      <alignment horizontal="left" vertical="center" indent="1"/>
    </xf>
    <xf numFmtId="0" fontId="37" fillId="5" borderId="94" xfId="8" applyFont="1" applyFill="1" applyBorder="1" applyAlignment="1">
      <alignment horizontal="left" vertical="center" indent="1"/>
    </xf>
    <xf numFmtId="0" fontId="35" fillId="0" borderId="96" xfId="8" applyFont="1" applyBorder="1" applyAlignment="1">
      <alignment horizontal="center" vertical="center" shrinkToFit="1"/>
    </xf>
    <xf numFmtId="0" fontId="35" fillId="0" borderId="95" xfId="8" applyFont="1" applyBorder="1" applyAlignment="1">
      <alignment horizontal="center" vertical="center" shrinkToFit="1"/>
    </xf>
    <xf numFmtId="0" fontId="35" fillId="0" borderId="94" xfId="8" applyFont="1" applyBorder="1" applyAlignment="1">
      <alignment horizontal="center" vertical="center" shrinkToFit="1"/>
    </xf>
    <xf numFmtId="0" fontId="35" fillId="0" borderId="100" xfId="8" applyFont="1" applyBorder="1" applyAlignment="1">
      <alignment horizontal="left" vertical="center"/>
    </xf>
    <xf numFmtId="0" fontId="35" fillId="0" borderId="99" xfId="8" applyFont="1" applyBorder="1"/>
    <xf numFmtId="0" fontId="35" fillId="0" borderId="98" xfId="8" applyFont="1" applyBorder="1"/>
    <xf numFmtId="0" fontId="35" fillId="0" borderId="96" xfId="8" applyFont="1" applyBorder="1" applyAlignment="1">
      <alignment horizontal="center"/>
    </xf>
    <xf numFmtId="0" fontId="35" fillId="0" borderId="95" xfId="8" applyFont="1" applyBorder="1" applyAlignment="1">
      <alignment horizontal="center"/>
    </xf>
    <xf numFmtId="0" fontId="35" fillId="0" borderId="94" xfId="8" applyFont="1" applyBorder="1" applyAlignment="1">
      <alignment horizontal="center"/>
    </xf>
    <xf numFmtId="0" fontId="36" fillId="0" borderId="97" xfId="8" applyFont="1" applyBorder="1" applyAlignment="1">
      <alignment horizontal="center" vertical="center" shrinkToFit="1"/>
    </xf>
    <xf numFmtId="0" fontId="35" fillId="0" borderId="95" xfId="8" applyFont="1" applyBorder="1" applyAlignment="1" applyProtection="1">
      <alignment horizontal="center"/>
      <protection locked="0"/>
    </xf>
    <xf numFmtId="0" fontId="35" fillId="0" borderId="0" xfId="8" applyFont="1" applyAlignment="1">
      <alignment horizontal="left" vertical="center" wrapText="1"/>
    </xf>
    <xf numFmtId="0" fontId="36" fillId="0" borderId="96" xfId="8" applyFont="1" applyBorder="1" applyAlignment="1">
      <alignment horizontal="center" vertical="center" shrinkToFit="1"/>
    </xf>
    <xf numFmtId="0" fontId="36" fillId="0" borderId="95" xfId="8" applyFont="1" applyBorder="1" applyAlignment="1">
      <alignment horizontal="center" vertical="center" shrinkToFit="1"/>
    </xf>
    <xf numFmtId="0" fontId="36" fillId="0" borderId="94" xfId="8" applyFont="1" applyBorder="1" applyAlignment="1">
      <alignment horizontal="center" vertical="center" shrinkToFit="1"/>
    </xf>
    <xf numFmtId="0" fontId="35" fillId="0" borderId="103" xfId="8" applyFont="1" applyBorder="1" applyAlignment="1" applyProtection="1">
      <alignment horizontal="center" vertical="center"/>
      <protection locked="0"/>
    </xf>
    <xf numFmtId="0" fontId="35" fillId="0" borderId="101" xfId="8" applyFont="1" applyBorder="1" applyAlignment="1" applyProtection="1">
      <alignment horizontal="center" vertical="center"/>
      <protection locked="0"/>
    </xf>
    <xf numFmtId="0" fontId="35" fillId="0" borderId="113" xfId="8" applyFont="1" applyBorder="1" applyAlignment="1" applyProtection="1">
      <alignment horizontal="center" vertical="center"/>
      <protection locked="0"/>
    </xf>
    <xf numFmtId="0" fontId="35" fillId="0" borderId="112" xfId="8" applyFont="1" applyBorder="1" applyAlignment="1" applyProtection="1">
      <alignment horizontal="center" vertical="center"/>
      <protection locked="0"/>
    </xf>
    <xf numFmtId="0" fontId="36" fillId="5" borderId="97" xfId="8" applyFont="1" applyFill="1" applyBorder="1" applyAlignment="1">
      <alignment horizontal="center" vertical="center" shrinkToFit="1"/>
    </xf>
    <xf numFmtId="0" fontId="35" fillId="0" borderId="99" xfId="8" applyFont="1" applyBorder="1" applyAlignment="1">
      <alignment horizontal="left"/>
    </xf>
    <xf numFmtId="0" fontId="32" fillId="0" borderId="132" xfId="12" applyFont="1" applyBorder="1" applyAlignment="1">
      <alignment horizontal="center" vertical="center"/>
    </xf>
    <xf numFmtId="0" fontId="56" fillId="0" borderId="149" xfId="12" applyFont="1" applyBorder="1" applyAlignment="1">
      <alignment horizontal="center" vertical="center"/>
    </xf>
    <xf numFmtId="0" fontId="56" fillId="0" borderId="147" xfId="12" applyFont="1" applyBorder="1" applyAlignment="1">
      <alignment horizontal="center" vertical="center"/>
    </xf>
    <xf numFmtId="0" fontId="2" fillId="0" borderId="149" xfId="12" applyBorder="1" applyAlignment="1">
      <alignment horizontal="center" vertical="center"/>
    </xf>
    <xf numFmtId="0" fontId="2" fillId="0" borderId="147" xfId="12" applyBorder="1" applyAlignment="1">
      <alignment horizontal="center" vertical="center"/>
    </xf>
    <xf numFmtId="0" fontId="32" fillId="0" borderId="128" xfId="12" applyFont="1" applyBorder="1" applyAlignment="1">
      <alignment horizontal="center"/>
    </xf>
    <xf numFmtId="0" fontId="32" fillId="0" borderId="127" xfId="12" applyFont="1" applyBorder="1" applyAlignment="1">
      <alignment horizontal="center"/>
    </xf>
    <xf numFmtId="0" fontId="32" fillId="0" borderId="126" xfId="12" applyFont="1" applyBorder="1" applyAlignment="1">
      <alignment horizontal="center"/>
    </xf>
    <xf numFmtId="0" fontId="44" fillId="0" borderId="128" xfId="12" applyFont="1" applyBorder="1" applyAlignment="1">
      <alignment horizontal="center" vertical="center" wrapText="1"/>
    </xf>
    <xf numFmtId="0" fontId="8" fillId="0" borderId="127" xfId="12" applyFont="1" applyBorder="1" applyAlignment="1">
      <alignment horizontal="center" vertical="center" wrapText="1"/>
    </xf>
    <xf numFmtId="0" fontId="52" fillId="0" borderId="137" xfId="12" applyFont="1" applyBorder="1" applyAlignment="1">
      <alignment horizontal="center" vertical="center"/>
    </xf>
    <xf numFmtId="0" fontId="52" fillId="0" borderId="136" xfId="12" applyFont="1" applyBorder="1" applyAlignment="1">
      <alignment horizontal="center" vertical="center"/>
    </xf>
    <xf numFmtId="0" fontId="52" fillId="0" borderId="135" xfId="12" applyFont="1" applyBorder="1" applyAlignment="1">
      <alignment horizontal="center" vertical="center"/>
    </xf>
    <xf numFmtId="0" fontId="52" fillId="0" borderId="134" xfId="12" applyFont="1" applyBorder="1" applyAlignment="1">
      <alignment horizontal="center" vertical="center"/>
    </xf>
    <xf numFmtId="0" fontId="52" fillId="0" borderId="0" xfId="12" applyFont="1" applyAlignment="1">
      <alignment horizontal="center" vertical="center"/>
    </xf>
    <xf numFmtId="0" fontId="52" fillId="0" borderId="133" xfId="12" applyFont="1" applyBorder="1" applyAlignment="1">
      <alignment horizontal="center" vertical="center"/>
    </xf>
    <xf numFmtId="0" fontId="32" fillId="0" borderId="128" xfId="12" applyFont="1" applyBorder="1" applyAlignment="1">
      <alignment horizontal="center" vertical="center" wrapText="1"/>
    </xf>
    <xf numFmtId="0" fontId="32" fillId="0" borderId="127" xfId="12" applyFont="1" applyBorder="1" applyAlignment="1">
      <alignment horizontal="center" vertical="center" wrapText="1"/>
    </xf>
    <xf numFmtId="0" fontId="32" fillId="0" borderId="126" xfId="12" applyFont="1" applyBorder="1" applyAlignment="1">
      <alignment horizontal="center" vertical="center" wrapText="1"/>
    </xf>
    <xf numFmtId="0" fontId="32" fillId="0" borderId="134" xfId="12" applyFont="1" applyBorder="1" applyAlignment="1">
      <alignment horizontal="center" vertical="top"/>
    </xf>
    <xf numFmtId="0" fontId="32" fillId="0" borderId="0" xfId="12" applyFont="1" applyAlignment="1">
      <alignment horizontal="center" vertical="top"/>
    </xf>
    <xf numFmtId="0" fontId="32" fillId="0" borderId="133" xfId="12" applyFont="1" applyBorder="1"/>
    <xf numFmtId="0" fontId="32" fillId="0" borderId="131" xfId="12" applyFont="1" applyBorder="1" applyAlignment="1">
      <alignment horizontal="center" vertical="center"/>
    </xf>
    <xf numFmtId="0" fontId="32" fillId="0" borderId="130" xfId="12" applyFont="1" applyBorder="1" applyAlignment="1">
      <alignment horizontal="center" vertical="center"/>
    </xf>
    <xf numFmtId="0" fontId="32" fillId="0" borderId="129" xfId="12" applyFont="1" applyBorder="1"/>
    <xf numFmtId="0" fontId="32" fillId="0" borderId="155" xfId="12" applyFont="1" applyBorder="1" applyAlignment="1">
      <alignment horizontal="center" vertical="center"/>
    </xf>
    <xf numFmtId="0" fontId="32" fillId="0" borderId="154" xfId="12" applyFont="1" applyBorder="1" applyAlignment="1">
      <alignment horizontal="center" vertical="center"/>
    </xf>
    <xf numFmtId="0" fontId="32" fillId="0" borderId="153" xfId="12" applyFont="1" applyBorder="1" applyAlignment="1">
      <alignment horizontal="center" vertical="center"/>
    </xf>
    <xf numFmtId="0" fontId="32" fillId="0" borderId="152" xfId="12" applyFont="1" applyBorder="1" applyAlignment="1">
      <alignment horizontal="center" vertical="center"/>
    </xf>
    <xf numFmtId="0" fontId="32" fillId="0" borderId="151" xfId="12" applyFont="1" applyBorder="1" applyAlignment="1">
      <alignment horizontal="center" vertical="center"/>
    </xf>
    <xf numFmtId="0" fontId="32" fillId="0" borderId="150" xfId="12" applyFont="1" applyBorder="1" applyAlignment="1">
      <alignment horizontal="center" vertical="center"/>
    </xf>
    <xf numFmtId="0" fontId="34" fillId="0" borderId="128" xfId="12" applyFont="1" applyBorder="1" applyAlignment="1">
      <alignment vertical="center" shrinkToFit="1"/>
    </xf>
    <xf numFmtId="0" fontId="34" fillId="0" borderId="127" xfId="12" applyFont="1" applyBorder="1" applyAlignment="1">
      <alignment vertical="center" shrinkToFit="1"/>
    </xf>
    <xf numFmtId="0" fontId="34" fillId="0" borderId="126" xfId="12" applyFont="1" applyBorder="1" applyAlignment="1">
      <alignment vertical="center" shrinkToFit="1"/>
    </xf>
    <xf numFmtId="0" fontId="34" fillId="0" borderId="128" xfId="12" applyFont="1" applyBorder="1" applyAlignment="1">
      <alignment horizontal="center" vertical="center" shrinkToFit="1"/>
    </xf>
    <xf numFmtId="0" fontId="34" fillId="0" borderId="127" xfId="12" applyFont="1" applyBorder="1" applyAlignment="1">
      <alignment horizontal="center" vertical="center" shrinkToFit="1"/>
    </xf>
    <xf numFmtId="0" fontId="34" fillId="0" borderId="126" xfId="12" applyFont="1" applyBorder="1" applyAlignment="1">
      <alignment horizontal="center" vertical="center" shrinkToFit="1"/>
    </xf>
    <xf numFmtId="0" fontId="32" fillId="0" borderId="132" xfId="12" applyFont="1" applyBorder="1" applyAlignment="1">
      <alignment horizontal="center"/>
    </xf>
    <xf numFmtId="0" fontId="34" fillId="0" borderId="149" xfId="12" applyFont="1" applyBorder="1" applyAlignment="1">
      <alignment horizontal="center" vertical="center" textRotation="255" shrinkToFit="1"/>
    </xf>
    <xf numFmtId="0" fontId="9" fillId="0" borderId="148" xfId="12" applyFont="1" applyBorder="1" applyAlignment="1">
      <alignment horizontal="center" vertical="center" textRotation="255" shrinkToFit="1"/>
    </xf>
    <xf numFmtId="0" fontId="9" fillId="0" borderId="148" xfId="12" applyFont="1" applyBorder="1" applyAlignment="1">
      <alignment horizontal="center" vertical="center" shrinkToFit="1"/>
    </xf>
    <xf numFmtId="0" fontId="9" fillId="0" borderId="147" xfId="12" applyFont="1" applyBorder="1" applyAlignment="1">
      <alignment horizontal="center" vertical="center" shrinkToFit="1"/>
    </xf>
    <xf numFmtId="0" fontId="32" fillId="0" borderId="135" xfId="12" applyFont="1" applyBorder="1" applyAlignment="1">
      <alignment horizontal="center" vertical="center" wrapText="1"/>
    </xf>
    <xf numFmtId="0" fontId="2" fillId="0" borderId="129" xfId="12" applyBorder="1" applyAlignment="1">
      <alignment horizontal="center" vertical="center" wrapText="1"/>
    </xf>
    <xf numFmtId="0" fontId="9" fillId="0" borderId="141" xfId="12" applyFont="1" applyBorder="1" applyAlignment="1">
      <alignment horizontal="center" vertical="center"/>
    </xf>
    <xf numFmtId="0" fontId="9" fillId="0" borderId="140" xfId="12" applyFont="1" applyBorder="1" applyAlignment="1">
      <alignment horizontal="center" vertical="center"/>
    </xf>
    <xf numFmtId="0" fontId="9" fillId="0" borderId="158" xfId="12" applyFont="1" applyBorder="1" applyAlignment="1">
      <alignment horizontal="center" vertical="center"/>
    </xf>
    <xf numFmtId="0" fontId="44" fillId="0" borderId="0" xfId="12" applyFont="1" applyAlignment="1">
      <alignment horizontal="center"/>
    </xf>
    <xf numFmtId="0" fontId="32" fillId="0" borderId="202" xfId="12" applyFont="1" applyBorder="1" applyAlignment="1">
      <alignment horizontal="center" vertical="center"/>
    </xf>
    <xf numFmtId="0" fontId="32" fillId="0" borderId="203" xfId="12" applyFont="1" applyBorder="1" applyAlignment="1">
      <alignment horizontal="center" vertical="center"/>
    </xf>
    <xf numFmtId="0" fontId="32" fillId="0" borderId="132" xfId="12" applyFont="1" applyBorder="1" applyAlignment="1">
      <alignment horizontal="center" vertical="center" shrinkToFit="1"/>
    </xf>
    <xf numFmtId="0" fontId="2" fillId="0" borderId="128" xfId="9" applyBorder="1" applyAlignment="1" applyProtection="1">
      <alignment horizontal="center" vertical="center"/>
      <protection locked="0"/>
    </xf>
    <xf numFmtId="0" fontId="2" fillId="0" borderId="127" xfId="9" applyBorder="1" applyAlignment="1" applyProtection="1">
      <alignment horizontal="center" vertical="center"/>
      <protection locked="0"/>
    </xf>
    <xf numFmtId="0" fontId="2" fillId="0" borderId="126" xfId="9" applyBorder="1" applyAlignment="1" applyProtection="1">
      <alignment horizontal="center" vertical="center"/>
      <protection locked="0"/>
    </xf>
    <xf numFmtId="0" fontId="32" fillId="0" borderId="137" xfId="12" applyFont="1" applyBorder="1" applyAlignment="1">
      <alignment horizontal="center" vertical="center" wrapText="1"/>
    </xf>
    <xf numFmtId="0" fontId="32" fillId="0" borderId="136" xfId="12" applyFont="1" applyBorder="1" applyAlignment="1">
      <alignment horizontal="center" vertical="center" wrapText="1"/>
    </xf>
    <xf numFmtId="0" fontId="32" fillId="0" borderId="131" xfId="12" applyFont="1" applyBorder="1" applyAlignment="1">
      <alignment horizontal="center" vertical="center" wrapText="1"/>
    </xf>
    <xf numFmtId="0" fontId="32" fillId="0" borderId="130" xfId="12" applyFont="1" applyBorder="1" applyAlignment="1">
      <alignment horizontal="center" vertical="center" wrapText="1"/>
    </xf>
    <xf numFmtId="0" fontId="32" fillId="0" borderId="129" xfId="12" applyFont="1" applyBorder="1" applyAlignment="1">
      <alignment horizontal="center" vertical="center" wrapText="1"/>
    </xf>
    <xf numFmtId="0" fontId="0" fillId="0" borderId="136" xfId="12" applyFont="1" applyBorder="1" applyAlignment="1">
      <alignment horizontal="center" vertical="center"/>
    </xf>
    <xf numFmtId="0" fontId="2" fillId="0" borderId="136" xfId="12" applyBorder="1" applyAlignment="1">
      <alignment horizontal="center" vertical="center"/>
    </xf>
    <xf numFmtId="0" fontId="2" fillId="0" borderId="130" xfId="12" applyBorder="1" applyAlignment="1">
      <alignment horizontal="center" vertical="center"/>
    </xf>
    <xf numFmtId="0" fontId="2" fillId="0" borderId="127" xfId="12" applyBorder="1" applyAlignment="1">
      <alignment horizontal="center"/>
    </xf>
    <xf numFmtId="0" fontId="0" fillId="0" borderId="137" xfId="12" applyFont="1" applyBorder="1" applyAlignment="1">
      <alignment horizontal="center" vertical="center"/>
    </xf>
    <xf numFmtId="0" fontId="2" fillId="0" borderId="131" xfId="12" applyBorder="1" applyAlignment="1">
      <alignment horizontal="center" vertical="center"/>
    </xf>
    <xf numFmtId="0" fontId="2" fillId="0" borderId="137" xfId="12" applyBorder="1" applyAlignment="1">
      <alignment horizontal="center" vertical="center"/>
    </xf>
    <xf numFmtId="0" fontId="2" fillId="0" borderId="135" xfId="12" applyBorder="1" applyAlignment="1">
      <alignment horizontal="center" vertical="center"/>
    </xf>
    <xf numFmtId="0" fontId="2" fillId="0" borderId="129" xfId="12" applyBorder="1" applyAlignment="1">
      <alignment horizontal="center" vertical="center"/>
    </xf>
    <xf numFmtId="0" fontId="32" fillId="0" borderId="128" xfId="12" applyFont="1" applyBorder="1" applyAlignment="1">
      <alignment horizontal="center" vertical="center" shrinkToFit="1"/>
    </xf>
    <xf numFmtId="0" fontId="32" fillId="0" borderId="127" xfId="12" applyFont="1" applyBorder="1" applyAlignment="1">
      <alignment horizontal="center" vertical="center" shrinkToFit="1"/>
    </xf>
    <xf numFmtId="0" fontId="32" fillId="0" borderId="126" xfId="12" applyFont="1" applyBorder="1" applyAlignment="1">
      <alignment horizontal="center" vertical="center" shrinkToFit="1"/>
    </xf>
    <xf numFmtId="0" fontId="0" fillId="0" borderId="131" xfId="12" applyFont="1" applyBorder="1" applyAlignment="1">
      <alignment horizontal="center" vertical="center" shrinkToFit="1"/>
    </xf>
    <xf numFmtId="0" fontId="2" fillId="0" borderId="130" xfId="12" applyBorder="1" applyAlignment="1">
      <alignment horizontal="center" vertical="center" shrinkToFit="1"/>
    </xf>
    <xf numFmtId="0" fontId="2" fillId="0" borderId="129" xfId="12" applyBorder="1" applyAlignment="1">
      <alignment horizontal="center" vertical="center" shrinkToFit="1"/>
    </xf>
    <xf numFmtId="0" fontId="54" fillId="0" borderId="136" xfId="12" applyFont="1" applyBorder="1" applyAlignment="1">
      <alignment horizontal="center" vertical="center" shrinkToFit="1"/>
    </xf>
    <xf numFmtId="0" fontId="32" fillId="0" borderId="135" xfId="12" applyFont="1" applyBorder="1" applyAlignment="1">
      <alignment horizontal="center" vertical="center"/>
    </xf>
    <xf numFmtId="0" fontId="32" fillId="0" borderId="129" xfId="12" applyFont="1" applyBorder="1" applyAlignment="1">
      <alignment horizontal="center" vertical="center"/>
    </xf>
    <xf numFmtId="0" fontId="2" fillId="0" borderId="128" xfId="12" applyBorder="1" applyAlignment="1">
      <alignment vertical="center"/>
    </xf>
    <xf numFmtId="0" fontId="2" fillId="0" borderId="127" xfId="12" applyBorder="1" applyAlignment="1">
      <alignment vertical="center"/>
    </xf>
    <xf numFmtId="0" fontId="2" fillId="0" borderId="126" xfId="12" applyBorder="1" applyAlignment="1">
      <alignment vertical="center"/>
    </xf>
    <xf numFmtId="0" fontId="32" fillId="0" borderId="132" xfId="12" applyFont="1" applyBorder="1" applyAlignment="1">
      <alignment horizontal="center" vertical="center" wrapText="1"/>
    </xf>
    <xf numFmtId="0" fontId="34" fillId="0" borderId="128" xfId="12" applyFont="1" applyBorder="1" applyAlignment="1">
      <alignment horizontal="center" vertical="center" wrapText="1"/>
    </xf>
    <xf numFmtId="0" fontId="34" fillId="0" borderId="126" xfId="12" applyFont="1" applyBorder="1" applyAlignment="1">
      <alignment horizontal="center" vertical="center" wrapText="1"/>
    </xf>
    <xf numFmtId="0" fontId="34" fillId="0" borderId="137" xfId="12" applyFont="1" applyBorder="1" applyAlignment="1">
      <alignment horizontal="center" vertical="center" wrapText="1"/>
    </xf>
    <xf numFmtId="0" fontId="34" fillId="0" borderId="135" xfId="12" applyFont="1" applyBorder="1" applyAlignment="1">
      <alignment horizontal="center" vertical="center" wrapText="1"/>
    </xf>
    <xf numFmtId="0" fontId="32" fillId="0" borderId="0" xfId="12" applyFont="1" applyAlignment="1">
      <alignment horizontal="center" vertical="top" textRotation="255" wrapText="1"/>
    </xf>
    <xf numFmtId="0" fontId="2" fillId="0" borderId="0" xfId="12"/>
    <xf numFmtId="0" fontId="53" fillId="0" borderId="128" xfId="12" applyFont="1" applyBorder="1" applyAlignment="1">
      <alignment horizontal="center" wrapText="1"/>
    </xf>
    <xf numFmtId="0" fontId="53" fillId="0" borderId="127" xfId="12" applyFont="1" applyBorder="1" applyAlignment="1">
      <alignment horizontal="center" wrapText="1"/>
    </xf>
    <xf numFmtId="0" fontId="34" fillId="0" borderId="159" xfId="12" applyFont="1" applyBorder="1" applyAlignment="1">
      <alignment horizontal="center" vertical="center"/>
    </xf>
    <xf numFmtId="0" fontId="34" fillId="0" borderId="140" xfId="12" applyFont="1" applyBorder="1" applyAlignment="1">
      <alignment horizontal="center" vertical="center"/>
    </xf>
    <xf numFmtId="0" fontId="34" fillId="0" borderId="139" xfId="12" applyFont="1" applyBorder="1" applyAlignment="1">
      <alignment horizontal="center" vertical="center"/>
    </xf>
    <xf numFmtId="0" fontId="44" fillId="0" borderId="127" xfId="12" applyFont="1" applyBorder="1" applyAlignment="1">
      <alignment horizontal="center" vertical="center" wrapText="1"/>
    </xf>
    <xf numFmtId="0" fontId="58" fillId="0" borderId="0" xfId="12" applyFont="1" applyAlignment="1">
      <alignment horizontal="center" vertical="center"/>
    </xf>
    <xf numFmtId="0" fontId="57" fillId="0" borderId="0" xfId="12" applyFont="1" applyAlignment="1">
      <alignment horizontal="center" vertical="center"/>
    </xf>
    <xf numFmtId="0" fontId="32" fillId="0" borderId="0" xfId="12" applyFont="1" applyAlignment="1">
      <alignment horizontal="center"/>
    </xf>
    <xf numFmtId="0" fontId="32" fillId="0" borderId="148" xfId="12" applyFont="1" applyBorder="1" applyAlignment="1">
      <alignment horizontal="center" vertical="center" wrapText="1"/>
    </xf>
    <xf numFmtId="0" fontId="32" fillId="0" borderId="147" xfId="12" applyFont="1" applyBorder="1" applyAlignment="1">
      <alignment horizontal="center" vertical="center" wrapText="1"/>
    </xf>
    <xf numFmtId="0" fontId="32" fillId="0" borderId="0" xfId="12" applyFont="1" applyAlignment="1">
      <alignment horizontal="left" vertical="center" wrapText="1"/>
    </xf>
    <xf numFmtId="0" fontId="2" fillId="0" borderId="128" xfId="12" applyBorder="1" applyAlignment="1" applyProtection="1">
      <alignment horizontal="right" vertical="center"/>
      <protection locked="0"/>
    </xf>
    <xf numFmtId="0" fontId="2" fillId="0" borderId="127" xfId="12" applyBorder="1" applyAlignment="1" applyProtection="1">
      <alignment horizontal="right" vertical="center"/>
      <protection locked="0"/>
    </xf>
    <xf numFmtId="0" fontId="2" fillId="0" borderId="128" xfId="12" applyBorder="1" applyAlignment="1">
      <alignment vertical="center" wrapText="1"/>
    </xf>
    <xf numFmtId="0" fontId="2" fillId="0" borderId="127" xfId="12" applyBorder="1" applyAlignment="1">
      <alignment vertical="center" wrapText="1"/>
    </xf>
    <xf numFmtId="0" fontId="2" fillId="0" borderId="126" xfId="12" applyBorder="1" applyAlignment="1">
      <alignment vertical="center" wrapText="1"/>
    </xf>
    <xf numFmtId="0" fontId="32" fillId="0" borderId="142" xfId="12" applyFont="1" applyBorder="1" applyAlignment="1">
      <alignment horizontal="center" vertical="top" textRotation="255" wrapText="1"/>
    </xf>
    <xf numFmtId="0" fontId="2" fillId="0" borderId="142" xfId="12" applyBorder="1"/>
    <xf numFmtId="0" fontId="32" fillId="0" borderId="137" xfId="12" applyFont="1" applyBorder="1" applyAlignment="1">
      <alignment horizontal="center" shrinkToFit="1"/>
    </xf>
    <xf numFmtId="0" fontId="32" fillId="0" borderId="136" xfId="12" applyFont="1" applyBorder="1" applyAlignment="1">
      <alignment horizontal="center" shrinkToFit="1"/>
    </xf>
    <xf numFmtId="0" fontId="32" fillId="0" borderId="131" xfId="12" applyFont="1" applyBorder="1" applyAlignment="1">
      <alignment horizontal="center" shrinkToFit="1"/>
    </xf>
    <xf numFmtId="0" fontId="32" fillId="0" borderId="130" xfId="12" applyFont="1" applyBorder="1" applyAlignment="1">
      <alignment horizontal="center" shrinkToFit="1"/>
    </xf>
    <xf numFmtId="0" fontId="32" fillId="0" borderId="127" xfId="12" applyFont="1" applyBorder="1" applyAlignment="1">
      <alignment horizontal="center" vertical="center"/>
    </xf>
    <xf numFmtId="0" fontId="32" fillId="0" borderId="126" xfId="12" applyFont="1" applyBorder="1" applyAlignment="1">
      <alignment horizontal="center" vertical="center"/>
    </xf>
    <xf numFmtId="0" fontId="46" fillId="0" borderId="132" xfId="12" applyFont="1" applyBorder="1" applyAlignment="1">
      <alignment horizontal="center" vertical="center"/>
    </xf>
    <xf numFmtId="0" fontId="46" fillId="0" borderId="128" xfId="12" applyFont="1" applyBorder="1" applyAlignment="1" applyProtection="1">
      <alignment vertical="center" shrinkToFit="1"/>
      <protection locked="0"/>
    </xf>
    <xf numFmtId="0" fontId="46" fillId="0" borderId="127" xfId="12" applyFont="1" applyBorder="1" applyAlignment="1" applyProtection="1">
      <alignment vertical="center" shrinkToFit="1"/>
      <protection locked="0"/>
    </xf>
    <xf numFmtId="0" fontId="2" fillId="0" borderId="128" xfId="12" applyBorder="1" applyAlignment="1" applyProtection="1">
      <alignment vertical="center" wrapText="1"/>
      <protection locked="0"/>
    </xf>
    <xf numFmtId="0" fontId="2" fillId="0" borderId="127" xfId="12" applyBorder="1" applyAlignment="1" applyProtection="1">
      <alignment vertical="center" wrapText="1"/>
      <protection locked="0"/>
    </xf>
    <xf numFmtId="0" fontId="33" fillId="0" borderId="127" xfId="12" applyFont="1" applyBorder="1" applyAlignment="1">
      <alignment horizontal="center" wrapText="1"/>
    </xf>
    <xf numFmtId="0" fontId="32" fillId="5" borderId="128" xfId="12" applyFont="1" applyFill="1" applyBorder="1" applyAlignment="1">
      <alignment horizontal="center" vertical="center"/>
    </xf>
    <xf numFmtId="0" fontId="32" fillId="5" borderId="127" xfId="12" applyFont="1" applyFill="1" applyBorder="1" applyAlignment="1">
      <alignment horizontal="center" vertical="center"/>
    </xf>
    <xf numFmtId="0" fontId="32" fillId="5" borderId="126" xfId="12" applyFont="1" applyFill="1" applyBorder="1" applyAlignment="1">
      <alignment horizontal="center" vertical="center"/>
    </xf>
    <xf numFmtId="0" fontId="32" fillId="5" borderId="141" xfId="12" applyFont="1" applyFill="1" applyBorder="1" applyAlignment="1">
      <alignment horizontal="center" vertical="center"/>
    </xf>
    <xf numFmtId="0" fontId="32" fillId="5" borderId="140" xfId="12" applyFont="1" applyFill="1" applyBorder="1" applyAlignment="1">
      <alignment horizontal="center" vertical="center"/>
    </xf>
    <xf numFmtId="0" fontId="32" fillId="5" borderId="139" xfId="12" applyFont="1" applyFill="1" applyBorder="1" applyAlignment="1">
      <alignment horizontal="center" vertical="center"/>
    </xf>
    <xf numFmtId="0" fontId="32" fillId="0" borderId="132" xfId="12" applyFont="1" applyBorder="1" applyAlignment="1">
      <alignment horizontal="center" vertical="center" textRotation="255"/>
    </xf>
    <xf numFmtId="0" fontId="32" fillId="0" borderId="135" xfId="12" applyFont="1" applyBorder="1" applyAlignment="1">
      <alignment horizontal="center" shrinkToFit="1"/>
    </xf>
    <xf numFmtId="0" fontId="32" fillId="0" borderId="129" xfId="12" applyFont="1" applyBorder="1" applyAlignment="1">
      <alignment horizontal="center" shrinkToFit="1"/>
    </xf>
    <xf numFmtId="0" fontId="32" fillId="0" borderId="137" xfId="12" applyFont="1" applyBorder="1" applyAlignment="1">
      <alignment horizontal="center" vertical="center"/>
    </xf>
    <xf numFmtId="0" fontId="32" fillId="0" borderId="141" xfId="12" applyFont="1" applyBorder="1" applyAlignment="1">
      <alignment horizontal="center" vertical="center"/>
    </xf>
    <xf numFmtId="0" fontId="32" fillId="0" borderId="140" xfId="12" applyFont="1" applyBorder="1" applyAlignment="1">
      <alignment horizontal="center" vertical="center"/>
    </xf>
    <xf numFmtId="0" fontId="32" fillId="0" borderId="128" xfId="12" applyFont="1" applyBorder="1" applyAlignment="1">
      <alignment horizontal="center" vertical="center"/>
    </xf>
    <xf numFmtId="0" fontId="32" fillId="0" borderId="139" xfId="12" applyFont="1" applyBorder="1" applyAlignment="1">
      <alignment horizontal="center" vertical="center"/>
    </xf>
    <xf numFmtId="0" fontId="32" fillId="0" borderId="141" xfId="12" applyFont="1" applyBorder="1" applyAlignment="1">
      <alignment horizontal="center" vertical="center" shrinkToFit="1"/>
    </xf>
    <xf numFmtId="0" fontId="32" fillId="0" borderId="140" xfId="12" applyFont="1" applyBorder="1" applyAlignment="1">
      <alignment horizontal="center" vertical="center" shrinkToFit="1"/>
    </xf>
    <xf numFmtId="0" fontId="52" fillId="0" borderId="131" xfId="12" applyFont="1" applyBorder="1" applyAlignment="1">
      <alignment horizontal="center" vertical="center"/>
    </xf>
    <xf numFmtId="0" fontId="52" fillId="0" borderId="130" xfId="12" applyFont="1" applyBorder="1" applyAlignment="1">
      <alignment horizontal="center" vertical="center"/>
    </xf>
    <xf numFmtId="0" fontId="52" fillId="0" borderId="129" xfId="12" applyFont="1" applyBorder="1" applyAlignment="1">
      <alignment horizontal="center" vertical="center"/>
    </xf>
    <xf numFmtId="0" fontId="34" fillId="0" borderId="136" xfId="12" applyFont="1" applyBorder="1" applyAlignment="1">
      <alignment horizontal="center" vertical="center" wrapText="1"/>
    </xf>
    <xf numFmtId="0" fontId="34" fillId="0" borderId="134" xfId="12" applyFont="1" applyBorder="1" applyAlignment="1">
      <alignment horizontal="center" vertical="center" wrapText="1"/>
    </xf>
    <xf numFmtId="0" fontId="34" fillId="0" borderId="0" xfId="12" applyFont="1" applyAlignment="1">
      <alignment horizontal="center" vertical="center" wrapText="1"/>
    </xf>
    <xf numFmtId="0" fontId="34" fillId="0" borderId="133" xfId="12" applyFont="1" applyBorder="1" applyAlignment="1">
      <alignment horizontal="center" vertical="center" wrapText="1"/>
    </xf>
    <xf numFmtId="0" fontId="2" fillId="0" borderId="131" xfId="12" applyBorder="1" applyAlignment="1">
      <alignment horizontal="center" vertical="center" wrapText="1"/>
    </xf>
    <xf numFmtId="0" fontId="2" fillId="0" borderId="130" xfId="12" applyBorder="1" applyAlignment="1">
      <alignment horizontal="center" vertical="center" wrapText="1"/>
    </xf>
    <xf numFmtId="0" fontId="2" fillId="0" borderId="6" xfId="10" applyBorder="1" applyAlignment="1">
      <alignment horizontal="center"/>
    </xf>
    <xf numFmtId="0" fontId="2" fillId="0" borderId="53" xfId="10" applyBorder="1" applyAlignment="1">
      <alignment horizontal="left" vertical="center"/>
    </xf>
    <xf numFmtId="0" fontId="2" fillId="0" borderId="0" xfId="10" applyAlignment="1">
      <alignment horizontal="left" vertical="center"/>
    </xf>
    <xf numFmtId="0" fontId="2" fillId="0" borderId="4" xfId="10" applyBorder="1" applyAlignment="1">
      <alignment horizontal="left" vertical="center"/>
    </xf>
    <xf numFmtId="0" fontId="2" fillId="0" borderId="53" xfId="10" applyBorder="1" applyAlignment="1">
      <alignment horizontal="center" vertical="center"/>
    </xf>
    <xf numFmtId="0" fontId="2" fillId="0" borderId="0" xfId="10" applyAlignment="1">
      <alignment horizontal="center" vertical="center"/>
    </xf>
    <xf numFmtId="0" fontId="2" fillId="0" borderId="4" xfId="10" applyBorder="1" applyAlignment="1">
      <alignment horizontal="center" vertical="center"/>
    </xf>
    <xf numFmtId="0" fontId="2" fillId="0" borderId="0" xfId="10" applyAlignment="1">
      <alignment horizontal="left" vertical="top" wrapText="1"/>
    </xf>
    <xf numFmtId="0" fontId="2" fillId="0" borderId="16" xfId="10" applyBorder="1" applyAlignment="1">
      <alignment horizontal="center"/>
    </xf>
    <xf numFmtId="0" fontId="2" fillId="0" borderId="5" xfId="10" applyBorder="1" applyAlignment="1">
      <alignment horizontal="center"/>
    </xf>
    <xf numFmtId="0" fontId="2" fillId="0" borderId="19" xfId="10" applyBorder="1" applyAlignment="1">
      <alignment horizontal="center"/>
    </xf>
    <xf numFmtId="49" fontId="2" fillId="0" borderId="0" xfId="10" applyNumberFormat="1" applyAlignment="1">
      <alignment horizontal="center" vertical="center"/>
    </xf>
    <xf numFmtId="0" fontId="48" fillId="0" borderId="0" xfId="10" applyFont="1" applyAlignment="1">
      <alignment horizontal="center" vertical="center"/>
    </xf>
    <xf numFmtId="0" fontId="8" fillId="0" borderId="53" xfId="10" applyFont="1" applyBorder="1" applyAlignment="1">
      <alignment horizontal="center"/>
    </xf>
    <xf numFmtId="0" fontId="9" fillId="0" borderId="53" xfId="10" applyFont="1" applyBorder="1" applyAlignment="1">
      <alignment horizontal="left" vertical="center"/>
    </xf>
    <xf numFmtId="0" fontId="9" fillId="0" borderId="0" xfId="10" applyFont="1" applyAlignment="1">
      <alignment horizontal="left" vertical="center"/>
    </xf>
    <xf numFmtId="0" fontId="9" fillId="0" borderId="4" xfId="10" applyFont="1" applyBorder="1" applyAlignment="1">
      <alignment horizontal="left" vertical="center"/>
    </xf>
    <xf numFmtId="0" fontId="2" fillId="0" borderId="16" xfId="10" applyBorder="1" applyAlignment="1">
      <alignment horizontal="left"/>
    </xf>
    <xf numFmtId="0" fontId="2" fillId="0" borderId="5" xfId="10" applyBorder="1" applyAlignment="1">
      <alignment horizontal="left"/>
    </xf>
    <xf numFmtId="0" fontId="2" fillId="0" borderId="19" xfId="10" applyBorder="1" applyAlignment="1">
      <alignment horizontal="left"/>
    </xf>
    <xf numFmtId="0" fontId="48" fillId="0" borderId="0" xfId="8" applyFont="1" applyAlignment="1">
      <alignment horizontal="center" vertical="center"/>
    </xf>
    <xf numFmtId="0" fontId="2" fillId="0" borderId="4" xfId="8" applyBorder="1" applyAlignment="1">
      <alignment horizontal="center"/>
    </xf>
    <xf numFmtId="0" fontId="2" fillId="0" borderId="0" xfId="8" applyAlignment="1">
      <alignment horizontal="center"/>
    </xf>
    <xf numFmtId="0" fontId="60" fillId="0" borderId="55" xfId="13" applyFont="1" applyBorder="1" applyAlignment="1">
      <alignment horizontal="center" vertical="center"/>
    </xf>
    <xf numFmtId="0" fontId="60" fillId="0" borderId="53" xfId="13" applyFont="1" applyBorder="1" applyAlignment="1">
      <alignment horizontal="center" vertical="center"/>
    </xf>
    <xf numFmtId="0" fontId="60" fillId="0" borderId="54" xfId="13" applyFont="1" applyBorder="1" applyAlignment="1">
      <alignment horizontal="center" vertical="center"/>
    </xf>
    <xf numFmtId="0" fontId="60" fillId="0" borderId="161" xfId="13" applyFont="1" applyBorder="1" applyAlignment="1">
      <alignment horizontal="center" vertical="center"/>
    </xf>
    <xf numFmtId="0" fontId="60" fillId="0" borderId="0" xfId="13" applyFont="1" applyAlignment="1">
      <alignment horizontal="center" vertical="center"/>
    </xf>
    <xf numFmtId="0" fontId="60" fillId="0" borderId="109" xfId="13" applyFont="1" applyBorder="1" applyAlignment="1">
      <alignment horizontal="center" vertical="center"/>
    </xf>
    <xf numFmtId="0" fontId="60" fillId="0" borderId="17" xfId="13" applyFont="1" applyBorder="1" applyAlignment="1">
      <alignment horizontal="center" vertical="center"/>
    </xf>
    <xf numFmtId="0" fontId="60" fillId="0" borderId="4" xfId="13" applyFont="1" applyBorder="1" applyAlignment="1">
      <alignment horizontal="center" vertical="center"/>
    </xf>
    <xf numFmtId="0" fontId="60" fillId="0" borderId="20" xfId="13" applyFont="1" applyBorder="1" applyAlignment="1">
      <alignment horizontal="center" vertical="center"/>
    </xf>
    <xf numFmtId="0" fontId="60" fillId="0" borderId="169" xfId="13" applyFont="1" applyBorder="1" applyAlignment="1">
      <alignment horizontal="center" vertical="center" textRotation="255"/>
    </xf>
    <xf numFmtId="0" fontId="60" fillId="0" borderId="168" xfId="13" applyFont="1" applyBorder="1" applyAlignment="1">
      <alignment horizontal="center" vertical="center" textRotation="255"/>
    </xf>
    <xf numFmtId="0" fontId="60" fillId="0" borderId="9" xfId="13" applyFont="1" applyBorder="1" applyAlignment="1">
      <alignment horizontal="center" vertical="center" textRotation="255"/>
    </xf>
    <xf numFmtId="0" fontId="60" fillId="0" borderId="169" xfId="13" applyFont="1" applyBorder="1" applyAlignment="1">
      <alignment horizontal="center" vertical="center"/>
    </xf>
    <xf numFmtId="0" fontId="60" fillId="0" borderId="9" xfId="13" applyFont="1" applyBorder="1" applyAlignment="1">
      <alignment horizontal="center" vertical="center"/>
    </xf>
    <xf numFmtId="0" fontId="60" fillId="0" borderId="55" xfId="13" applyFont="1" applyBorder="1" applyAlignment="1">
      <alignment horizontal="center" vertical="center" shrinkToFit="1"/>
    </xf>
    <xf numFmtId="0" fontId="60" fillId="0" borderId="53" xfId="13" applyFont="1" applyBorder="1" applyAlignment="1">
      <alignment horizontal="center" vertical="center" shrinkToFit="1"/>
    </xf>
    <xf numFmtId="0" fontId="60" fillId="0" borderId="54" xfId="13" applyFont="1" applyBorder="1" applyAlignment="1">
      <alignment horizontal="center" vertical="center" shrinkToFit="1"/>
    </xf>
    <xf numFmtId="0" fontId="60" fillId="0" borderId="161" xfId="13" applyFont="1" applyBorder="1" applyAlignment="1">
      <alignment horizontal="center" vertical="center" shrinkToFit="1"/>
    </xf>
    <xf numFmtId="0" fontId="60" fillId="0" borderId="0" xfId="13" applyFont="1" applyAlignment="1">
      <alignment horizontal="center" vertical="center" shrinkToFit="1"/>
    </xf>
    <xf numFmtId="0" fontId="60" fillId="0" borderId="109" xfId="13" applyFont="1" applyBorder="1" applyAlignment="1">
      <alignment horizontal="center" vertical="center" shrinkToFit="1"/>
    </xf>
    <xf numFmtId="0" fontId="60" fillId="0" borderId="17" xfId="13" applyFont="1" applyBorder="1" applyAlignment="1">
      <alignment horizontal="center" vertical="center" shrinkToFit="1"/>
    </xf>
    <xf numFmtId="0" fontId="60" fillId="0" borderId="4" xfId="13" applyFont="1" applyBorder="1" applyAlignment="1">
      <alignment horizontal="center" vertical="center" shrinkToFit="1"/>
    </xf>
    <xf numFmtId="0" fontId="60" fillId="0" borderId="20" xfId="13" applyFont="1" applyBorder="1" applyAlignment="1">
      <alignment horizontal="center" vertical="center" shrinkToFit="1"/>
    </xf>
    <xf numFmtId="0" fontId="60" fillId="0" borderId="53" xfId="13" applyFont="1" applyBorder="1" applyAlignment="1">
      <alignment horizontal="right" vertical="center"/>
    </xf>
    <xf numFmtId="0" fontId="60" fillId="0" borderId="4" xfId="13" applyFont="1" applyBorder="1">
      <alignment vertical="center"/>
    </xf>
    <xf numFmtId="0" fontId="60" fillId="0" borderId="168" xfId="13" applyFont="1" applyBorder="1" applyAlignment="1">
      <alignment horizontal="center" vertical="center"/>
    </xf>
    <xf numFmtId="0" fontId="60" fillId="0" borderId="169" xfId="13" applyFont="1" applyBorder="1" applyAlignment="1">
      <alignment horizontal="center" vertical="center" wrapText="1"/>
    </xf>
    <xf numFmtId="0" fontId="60" fillId="0" borderId="168" xfId="13" applyFont="1" applyBorder="1" applyAlignment="1">
      <alignment horizontal="center" vertical="center" wrapText="1"/>
    </xf>
    <xf numFmtId="0" fontId="60" fillId="0" borderId="9" xfId="13" applyFont="1" applyBorder="1" applyAlignment="1">
      <alignment horizontal="center" vertical="center" wrapText="1"/>
    </xf>
    <xf numFmtId="0" fontId="60" fillId="0" borderId="55" xfId="13" applyFont="1" applyBorder="1" applyAlignment="1">
      <alignment horizontal="left" vertical="top"/>
    </xf>
    <xf numFmtId="0" fontId="60" fillId="0" borderId="53" xfId="13" applyFont="1" applyBorder="1" applyAlignment="1">
      <alignment horizontal="left" vertical="top"/>
    </xf>
    <xf numFmtId="0" fontId="60" fillId="0" borderId="161" xfId="13" applyFont="1" applyBorder="1" applyAlignment="1">
      <alignment horizontal="left" vertical="top"/>
    </xf>
    <xf numFmtId="0" fontId="60" fillId="0" borderId="0" xfId="13" applyFont="1" applyAlignment="1">
      <alignment horizontal="left" vertical="top"/>
    </xf>
    <xf numFmtId="0" fontId="60" fillId="0" borderId="17" xfId="13" applyFont="1" applyBorder="1" applyAlignment="1">
      <alignment horizontal="left" vertical="top"/>
    </xf>
    <xf numFmtId="0" fontId="60" fillId="0" borderId="4" xfId="13" applyFont="1" applyBorder="1" applyAlignment="1">
      <alignment horizontal="left" vertical="top"/>
    </xf>
    <xf numFmtId="14" fontId="60" fillId="0" borderId="55" xfId="13" applyNumberFormat="1" applyFont="1" applyBorder="1" applyAlignment="1">
      <alignment horizontal="center" vertical="center"/>
    </xf>
    <xf numFmtId="0" fontId="61" fillId="0" borderId="55" xfId="13" applyFont="1" applyBorder="1" applyAlignment="1">
      <alignment horizontal="center" vertical="center" wrapText="1"/>
    </xf>
    <xf numFmtId="0" fontId="61" fillId="0" borderId="53" xfId="13" applyFont="1" applyBorder="1" applyAlignment="1">
      <alignment horizontal="center" vertical="center" wrapText="1"/>
    </xf>
    <xf numFmtId="0" fontId="61" fillId="0" borderId="54" xfId="13" applyFont="1" applyBorder="1" applyAlignment="1">
      <alignment horizontal="center" vertical="center" wrapText="1"/>
    </xf>
    <xf numFmtId="0" fontId="61" fillId="0" borderId="161" xfId="13" applyFont="1" applyBorder="1" applyAlignment="1">
      <alignment horizontal="center" vertical="center" wrapText="1"/>
    </xf>
    <xf numFmtId="0" fontId="61" fillId="0" borderId="0" xfId="13" applyFont="1" applyAlignment="1">
      <alignment horizontal="center" vertical="center" wrapText="1"/>
    </xf>
    <xf numFmtId="0" fontId="61" fillId="0" borderId="109" xfId="13" applyFont="1" applyBorder="1" applyAlignment="1">
      <alignment horizontal="center" vertical="center" wrapText="1"/>
    </xf>
    <xf numFmtId="0" fontId="61" fillId="0" borderId="17" xfId="13" applyFont="1" applyBorder="1" applyAlignment="1">
      <alignment horizontal="center" vertical="center" wrapText="1"/>
    </xf>
    <xf numFmtId="0" fontId="61" fillId="0" borderId="4" xfId="13" applyFont="1" applyBorder="1" applyAlignment="1">
      <alignment horizontal="center" vertical="center" wrapText="1"/>
    </xf>
    <xf numFmtId="0" fontId="61" fillId="0" borderId="20" xfId="13" applyFont="1" applyBorder="1" applyAlignment="1">
      <alignment horizontal="center" vertical="center" wrapText="1"/>
    </xf>
    <xf numFmtId="0" fontId="60" fillId="0" borderId="55" xfId="13" applyFont="1" applyBorder="1">
      <alignment vertical="center"/>
    </xf>
    <xf numFmtId="0" fontId="60" fillId="0" borderId="17" xfId="13" applyFont="1" applyBorder="1">
      <alignment vertical="center"/>
    </xf>
    <xf numFmtId="0" fontId="60" fillId="0" borderId="5" xfId="13" applyFont="1" applyBorder="1" applyAlignment="1">
      <alignment horizontal="center" vertical="center"/>
    </xf>
    <xf numFmtId="0" fontId="60" fillId="0" borderId="19" xfId="13" applyFont="1" applyBorder="1" applyAlignment="1">
      <alignment horizontal="center" vertical="center"/>
    </xf>
    <xf numFmtId="0" fontId="60" fillId="0" borderId="16" xfId="13" applyFont="1" applyBorder="1" applyAlignment="1">
      <alignment horizontal="center" vertical="center"/>
    </xf>
    <xf numFmtId="0" fontId="65" fillId="0" borderId="169" xfId="13" applyFont="1" applyBorder="1" applyAlignment="1">
      <alignment vertical="center" wrapText="1"/>
    </xf>
    <xf numFmtId="0" fontId="65" fillId="0" borderId="9" xfId="13" applyFont="1" applyBorder="1" applyAlignment="1">
      <alignment vertical="center" wrapText="1"/>
    </xf>
    <xf numFmtId="14" fontId="60" fillId="0" borderId="53" xfId="13" applyNumberFormat="1" applyFont="1" applyBorder="1" applyAlignment="1">
      <alignment horizontal="center" vertical="center"/>
    </xf>
    <xf numFmtId="49" fontId="60" fillId="0" borderId="55" xfId="13" applyNumberFormat="1" applyFont="1" applyBorder="1" applyAlignment="1">
      <alignment horizontal="center" vertical="center"/>
    </xf>
    <xf numFmtId="0" fontId="2" fillId="0" borderId="16" xfId="11" applyFont="1" applyBorder="1" applyAlignment="1">
      <alignment horizontal="center" vertical="center"/>
    </xf>
    <xf numFmtId="0" fontId="2" fillId="0" borderId="5" xfId="11" applyFont="1" applyBorder="1" applyAlignment="1">
      <alignment horizontal="center" vertical="center"/>
    </xf>
    <xf numFmtId="0" fontId="2" fillId="0" borderId="19" xfId="11" applyFont="1" applyBorder="1" applyAlignment="1">
      <alignment horizontal="center" vertical="center"/>
    </xf>
    <xf numFmtId="0" fontId="2" fillId="0" borderId="55" xfId="11" applyFont="1" applyBorder="1" applyAlignment="1">
      <alignment horizontal="center" vertical="center"/>
    </xf>
    <xf numFmtId="0" fontId="2" fillId="0" borderId="53" xfId="11" applyFont="1" applyBorder="1" applyAlignment="1">
      <alignment horizontal="center" vertical="center"/>
    </xf>
    <xf numFmtId="0" fontId="2" fillId="0" borderId="54" xfId="11" applyFont="1" applyBorder="1" applyAlignment="1">
      <alignment horizontal="center" vertical="center"/>
    </xf>
    <xf numFmtId="0" fontId="2" fillId="0" borderId="17" xfId="11" applyFont="1" applyBorder="1" applyAlignment="1">
      <alignment horizontal="center" vertical="center"/>
    </xf>
    <xf numFmtId="0" fontId="2" fillId="0" borderId="4" xfId="11" applyFont="1" applyBorder="1" applyAlignment="1">
      <alignment horizontal="center" vertical="center"/>
    </xf>
    <xf numFmtId="0" fontId="2" fillId="0" borderId="20" xfId="11" applyFont="1" applyBorder="1" applyAlignment="1">
      <alignment horizontal="center" vertical="center"/>
    </xf>
    <xf numFmtId="0" fontId="60" fillId="0" borderId="53" xfId="13" applyFont="1" applyBorder="1" applyAlignment="1">
      <alignment horizontal="center" shrinkToFit="1"/>
    </xf>
    <xf numFmtId="0" fontId="60" fillId="0" borderId="54" xfId="13" applyFont="1" applyBorder="1" applyAlignment="1">
      <alignment horizontal="center" shrinkToFit="1"/>
    </xf>
    <xf numFmtId="0" fontId="60" fillId="0" borderId="0" xfId="13" applyFont="1" applyAlignment="1">
      <alignment horizontal="center" vertical="top" shrinkToFit="1"/>
    </xf>
    <xf numFmtId="0" fontId="60" fillId="0" borderId="109" xfId="13" applyFont="1" applyBorder="1" applyAlignment="1">
      <alignment horizontal="center" vertical="top" shrinkToFit="1"/>
    </xf>
    <xf numFmtId="0" fontId="60" fillId="0" borderId="4" xfId="13" applyFont="1" applyBorder="1" applyAlignment="1">
      <alignment horizontal="center" vertical="top" shrinkToFit="1"/>
    </xf>
    <xf numFmtId="0" fontId="60" fillId="0" borderId="20" xfId="13" applyFont="1" applyBorder="1" applyAlignment="1">
      <alignment horizontal="center" vertical="top" shrinkToFit="1"/>
    </xf>
    <xf numFmtId="0" fontId="2" fillId="0" borderId="41" xfId="11" applyFont="1" applyBorder="1" applyAlignment="1">
      <alignment horizontal="left" vertical="top" wrapText="1"/>
    </xf>
    <xf numFmtId="0" fontId="2" fillId="0" borderId="42" xfId="11" applyFont="1" applyBorder="1" applyAlignment="1">
      <alignment horizontal="left" vertical="top" wrapText="1"/>
    </xf>
    <xf numFmtId="0" fontId="48" fillId="0" borderId="0" xfId="11" applyFont="1" applyAlignment="1">
      <alignment horizontal="left" vertical="center"/>
    </xf>
    <xf numFmtId="0" fontId="2" fillId="0" borderId="34" xfId="11" applyFont="1" applyBorder="1" applyAlignment="1">
      <alignment horizontal="left" vertical="center"/>
    </xf>
    <xf numFmtId="0" fontId="2" fillId="0" borderId="0" xfId="11" applyFont="1" applyAlignment="1">
      <alignment horizontal="left" vertical="center"/>
    </xf>
    <xf numFmtId="0" fontId="24" fillId="0" borderId="28" xfId="11" applyFont="1" applyBorder="1" applyAlignment="1">
      <alignment horizontal="center" vertical="center"/>
    </xf>
    <xf numFmtId="0" fontId="24" fillId="0" borderId="29" xfId="11" applyFont="1" applyBorder="1" applyAlignment="1">
      <alignment horizontal="center" vertical="center"/>
    </xf>
    <xf numFmtId="0" fontId="24" fillId="0" borderId="4" xfId="11" applyFont="1" applyBorder="1" applyAlignment="1">
      <alignment horizontal="center" vertical="center"/>
    </xf>
    <xf numFmtId="0" fontId="24" fillId="0" borderId="7" xfId="11" applyFont="1" applyBorder="1" applyAlignment="1">
      <alignment horizontal="center" vertical="center"/>
    </xf>
    <xf numFmtId="0" fontId="22" fillId="0" borderId="175" xfId="11" applyFont="1" applyBorder="1" applyAlignment="1">
      <alignment horizontal="center" vertical="center" textRotation="255"/>
    </xf>
    <xf numFmtId="0" fontId="22" fillId="0" borderId="173" xfId="11" applyFont="1" applyBorder="1" applyAlignment="1">
      <alignment horizontal="center" vertical="center" textRotation="255"/>
    </xf>
    <xf numFmtId="0" fontId="22" fillId="0" borderId="177" xfId="11" applyFont="1" applyBorder="1" applyAlignment="1">
      <alignment horizontal="center" vertical="center" textRotation="255"/>
    </xf>
    <xf numFmtId="0" fontId="22" fillId="0" borderId="49" xfId="11" applyFont="1" applyBorder="1" applyAlignment="1">
      <alignment horizontal="center" vertical="center" textRotation="255"/>
    </xf>
    <xf numFmtId="0" fontId="2" fillId="0" borderId="30" xfId="11" applyFont="1" applyBorder="1" applyAlignment="1">
      <alignment horizontal="left" vertical="center"/>
    </xf>
    <xf numFmtId="0" fontId="2" fillId="0" borderId="31" xfId="11" applyFont="1" applyBorder="1" applyAlignment="1">
      <alignment horizontal="left" vertical="center"/>
    </xf>
    <xf numFmtId="0" fontId="2" fillId="0" borderId="174" xfId="11" applyFont="1" applyBorder="1" applyAlignment="1">
      <alignment horizontal="left" vertical="top" wrapText="1"/>
    </xf>
    <xf numFmtId="0" fontId="2" fillId="0" borderId="53" xfId="11" applyFont="1" applyBorder="1" applyAlignment="1">
      <alignment horizontal="left" vertical="top" wrapText="1"/>
    </xf>
    <xf numFmtId="0" fontId="2" fillId="0" borderId="54" xfId="11" applyFont="1" applyBorder="1" applyAlignment="1">
      <alignment horizontal="left" vertical="top" wrapText="1"/>
    </xf>
    <xf numFmtId="0" fontId="2" fillId="0" borderId="172" xfId="11" applyFont="1" applyBorder="1" applyAlignment="1">
      <alignment horizontal="left" vertical="top" wrapText="1"/>
    </xf>
    <xf numFmtId="0" fontId="2" fillId="0" borderId="0" xfId="11" applyFont="1" applyAlignment="1">
      <alignment horizontal="left" vertical="top" wrapText="1"/>
    </xf>
    <xf numFmtId="0" fontId="2" fillId="0" borderId="109" xfId="11" applyFont="1" applyBorder="1" applyAlignment="1">
      <alignment horizontal="left" vertical="top" wrapText="1"/>
    </xf>
    <xf numFmtId="0" fontId="2" fillId="0" borderId="170" xfId="11" applyFont="1" applyBorder="1" applyAlignment="1">
      <alignment horizontal="left" vertical="top" wrapText="1"/>
    </xf>
    <xf numFmtId="0" fontId="2" fillId="0" borderId="30" xfId="11" applyFont="1" applyBorder="1" applyAlignment="1">
      <alignment horizontal="left" vertical="top" wrapText="1"/>
    </xf>
    <xf numFmtId="0" fontId="2" fillId="0" borderId="46" xfId="11" applyFont="1" applyBorder="1" applyAlignment="1">
      <alignment horizontal="left" vertical="top" wrapText="1"/>
    </xf>
    <xf numFmtId="0" fontId="2" fillId="0" borderId="161" xfId="11" applyFont="1" applyBorder="1" applyAlignment="1">
      <alignment horizontal="left" vertical="top" wrapText="1"/>
    </xf>
    <xf numFmtId="0" fontId="2" fillId="0" borderId="45" xfId="11" applyFont="1" applyBorder="1" applyAlignment="1">
      <alignment horizontal="left" vertical="top" wrapText="1"/>
    </xf>
    <xf numFmtId="0" fontId="2" fillId="0" borderId="55" xfId="11" applyFont="1" applyBorder="1" applyAlignment="1">
      <alignment horizontal="left" vertical="top" wrapText="1"/>
    </xf>
    <xf numFmtId="0" fontId="2" fillId="0" borderId="196" xfId="11" applyFont="1" applyBorder="1" applyAlignment="1">
      <alignment horizontal="left" vertical="top" wrapText="1"/>
    </xf>
    <xf numFmtId="0" fontId="2" fillId="0" borderId="176" xfId="11" applyFont="1" applyBorder="1" applyAlignment="1">
      <alignment horizontal="left" vertical="top" wrapText="1"/>
    </xf>
    <xf numFmtId="0" fontId="2" fillId="0" borderId="198" xfId="11" applyFont="1" applyBorder="1" applyAlignment="1">
      <alignment horizontal="left" vertical="top" wrapText="1"/>
    </xf>
    <xf numFmtId="0" fontId="2" fillId="0" borderId="199" xfId="11" applyFont="1" applyBorder="1" applyAlignment="1">
      <alignment horizontal="left" vertical="top" wrapText="1"/>
    </xf>
    <xf numFmtId="0" fontId="0" fillId="0" borderId="55" xfId="11" applyFont="1" applyBorder="1" applyAlignment="1">
      <alignment horizontal="left" vertical="top" wrapText="1"/>
    </xf>
    <xf numFmtId="0" fontId="0" fillId="0" borderId="54" xfId="11" applyFont="1" applyBorder="1" applyAlignment="1">
      <alignment horizontal="left" vertical="top" wrapText="1"/>
    </xf>
    <xf numFmtId="0" fontId="0" fillId="0" borderId="195" xfId="11" applyFont="1" applyBorder="1" applyAlignment="1">
      <alignment horizontal="left" vertical="top" wrapText="1"/>
    </xf>
    <xf numFmtId="0" fontId="0" fillId="0" borderId="196" xfId="11" applyFont="1" applyBorder="1" applyAlignment="1">
      <alignment horizontal="left" vertical="top" wrapText="1"/>
    </xf>
    <xf numFmtId="0" fontId="0" fillId="0" borderId="197" xfId="11" applyFont="1" applyBorder="1" applyAlignment="1">
      <alignment horizontal="left" vertical="top" wrapText="1"/>
    </xf>
    <xf numFmtId="0" fontId="0" fillId="0" borderId="199" xfId="11" applyFont="1" applyBorder="1" applyAlignment="1">
      <alignment horizontal="left" vertical="top" wrapText="1"/>
    </xf>
    <xf numFmtId="0" fontId="2" fillId="0" borderId="28" xfId="11" applyFont="1" applyBorder="1" applyAlignment="1">
      <alignment vertical="center" wrapText="1"/>
    </xf>
    <xf numFmtId="0" fontId="2" fillId="0" borderId="44" xfId="11" applyFont="1" applyBorder="1" applyAlignment="1">
      <alignment vertical="center" wrapText="1"/>
    </xf>
    <xf numFmtId="0" fontId="2" fillId="0" borderId="4" xfId="11" applyFont="1" applyBorder="1" applyAlignment="1">
      <alignment vertical="center" wrapText="1"/>
    </xf>
    <xf numFmtId="0" fontId="2" fillId="0" borderId="20" xfId="11" applyFont="1" applyBorder="1" applyAlignment="1">
      <alignment vertical="center" wrapText="1"/>
    </xf>
    <xf numFmtId="0" fontId="2" fillId="0" borderId="28" xfId="11" applyFont="1" applyBorder="1" applyAlignment="1">
      <alignment horizontal="left" vertical="center" wrapText="1"/>
    </xf>
    <xf numFmtId="0" fontId="2" fillId="0" borderId="44" xfId="11" applyFont="1" applyBorder="1" applyAlignment="1">
      <alignment horizontal="left" vertical="center" wrapText="1"/>
    </xf>
    <xf numFmtId="0" fontId="2" fillId="0" borderId="4" xfId="11" applyFont="1" applyBorder="1" applyAlignment="1">
      <alignment horizontal="left" vertical="center" wrapText="1"/>
    </xf>
    <xf numFmtId="0" fontId="2" fillId="0" borderId="20" xfId="11" applyFont="1" applyBorder="1" applyAlignment="1">
      <alignment horizontal="left" vertical="center" wrapText="1"/>
    </xf>
    <xf numFmtId="0" fontId="22" fillId="0" borderId="48" xfId="11" applyFont="1" applyBorder="1" applyAlignment="1">
      <alignment horizontal="center" vertical="center" textRotation="255"/>
    </xf>
    <xf numFmtId="0" fontId="2" fillId="0" borderId="28" xfId="11" applyFont="1" applyBorder="1" applyAlignment="1">
      <alignment horizontal="center" vertical="center" wrapText="1"/>
    </xf>
    <xf numFmtId="0" fontId="2" fillId="0" borderId="44" xfId="11" applyFont="1" applyBorder="1" applyAlignment="1">
      <alignment horizontal="center" vertical="center" wrapText="1"/>
    </xf>
    <xf numFmtId="0" fontId="2" fillId="0" borderId="4" xfId="11" applyFont="1" applyBorder="1" applyAlignment="1">
      <alignment horizontal="center" vertical="center" wrapText="1"/>
    </xf>
    <xf numFmtId="0" fontId="2" fillId="0" borderId="20" xfId="11" applyFont="1" applyBorder="1" applyAlignment="1">
      <alignment horizontal="center" vertical="center" wrapText="1"/>
    </xf>
    <xf numFmtId="0" fontId="2" fillId="0" borderId="195" xfId="11" applyFont="1" applyBorder="1" applyAlignment="1">
      <alignment horizontal="left" vertical="top" wrapText="1"/>
    </xf>
    <xf numFmtId="0" fontId="2" fillId="0" borderId="197" xfId="11" applyFont="1" applyBorder="1" applyAlignment="1">
      <alignment horizontal="left" vertical="top" wrapText="1"/>
    </xf>
    <xf numFmtId="0" fontId="1" fillId="0" borderId="200" xfId="0" applyFont="1" applyBorder="1">
      <alignment vertical="center"/>
    </xf>
    <xf numFmtId="0" fontId="8" fillId="0" borderId="0" xfId="0" applyFont="1" applyAlignment="1">
      <alignment horizontal="right" vertical="center"/>
    </xf>
    <xf numFmtId="176" fontId="0" fillId="0" borderId="0" xfId="0" applyNumberFormat="1" applyAlignment="1">
      <alignment vertical="center" shrinkToFit="1"/>
    </xf>
  </cellXfs>
  <cellStyles count="14">
    <cellStyle name="アクセント 5" xfId="1" builtinId="45"/>
    <cellStyle name="ハイパーリンク" xfId="2" builtinId="8"/>
    <cellStyle name="桁区切り" xfId="3" builtinId="6"/>
    <cellStyle name="通貨" xfId="4" builtinId="7"/>
    <cellStyle name="通貨 2" xfId="7" xr:uid="{00000000-0005-0000-0000-000004000000}"/>
    <cellStyle name="標準" xfId="0" builtinId="0"/>
    <cellStyle name="標準 2" xfId="5" xr:uid="{00000000-0005-0000-0000-000006000000}"/>
    <cellStyle name="標準 2 2" xfId="11" xr:uid="{00000000-0005-0000-0000-000007000000}"/>
    <cellStyle name="標準 3" xfId="8" xr:uid="{00000000-0005-0000-0000-000008000000}"/>
    <cellStyle name="標準 4" xfId="9" xr:uid="{00000000-0005-0000-0000-000009000000}"/>
    <cellStyle name="標準 5" xfId="10" xr:uid="{00000000-0005-0000-0000-00000A000000}"/>
    <cellStyle name="標準 6" xfId="12" xr:uid="{6536C65D-EE7A-48D0-9FB9-B99FF2B39279}"/>
    <cellStyle name="標準 7" xfId="13" xr:uid="{052B780A-CF5C-41ED-B381-79009D592440}"/>
    <cellStyle name="標準_エミホーム" xfId="6" xr:uid="{00000000-0005-0000-0000-00000B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1076325</xdr:colOff>
      <xdr:row>0</xdr:row>
      <xdr:rowOff>0</xdr:rowOff>
    </xdr:from>
    <xdr:to>
      <xdr:col>11</xdr:col>
      <xdr:colOff>952500</xdr:colOff>
      <xdr:row>0</xdr:row>
      <xdr:rowOff>0</xdr:rowOff>
    </xdr:to>
    <xdr:sp macro="" textlink="">
      <xdr:nvSpPr>
        <xdr:cNvPr id="6151" name="Oval 7">
          <a:extLst>
            <a:ext uri="{FF2B5EF4-FFF2-40B4-BE49-F238E27FC236}">
              <a16:creationId xmlns:a16="http://schemas.microsoft.com/office/drawing/2014/main" id="{00000000-0008-0000-0200-000007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6152" name="Oval 8">
          <a:extLst>
            <a:ext uri="{FF2B5EF4-FFF2-40B4-BE49-F238E27FC236}">
              <a16:creationId xmlns:a16="http://schemas.microsoft.com/office/drawing/2014/main" id="{00000000-0008-0000-0200-000008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10</xdr:col>
      <xdr:colOff>200025</xdr:colOff>
      <xdr:row>0</xdr:row>
      <xdr:rowOff>0</xdr:rowOff>
    </xdr:from>
    <xdr:to>
      <xdr:col>12</xdr:col>
      <xdr:colOff>0</xdr:colOff>
      <xdr:row>0</xdr:row>
      <xdr:rowOff>0</xdr:rowOff>
    </xdr:to>
    <xdr:grpSp>
      <xdr:nvGrpSpPr>
        <xdr:cNvPr id="66847" name="Group 12">
          <a:extLst>
            <a:ext uri="{FF2B5EF4-FFF2-40B4-BE49-F238E27FC236}">
              <a16:creationId xmlns:a16="http://schemas.microsoft.com/office/drawing/2014/main" id="{00000000-0008-0000-0200-00001F050100}"/>
            </a:ext>
          </a:extLst>
        </xdr:cNvPr>
        <xdr:cNvGrpSpPr>
          <a:grpSpLocks/>
        </xdr:cNvGrpSpPr>
      </xdr:nvGrpSpPr>
      <xdr:grpSpPr bwMode="auto">
        <a:xfrm>
          <a:off x="7203168" y="0"/>
          <a:ext cx="1260475" cy="0"/>
          <a:chOff x="7101" y="518"/>
          <a:chExt cx="2700" cy="540"/>
        </a:xfrm>
      </xdr:grpSpPr>
      <xdr:sp macro="" textlink="">
        <xdr:nvSpPr>
          <xdr:cNvPr id="6157" name="Rectangle 13">
            <a:extLst>
              <a:ext uri="{FF2B5EF4-FFF2-40B4-BE49-F238E27FC236}">
                <a16:creationId xmlns:a16="http://schemas.microsoft.com/office/drawing/2014/main" id="{00000000-0008-0000-0200-00000D180000}"/>
              </a:ext>
            </a:extLst>
          </xdr:cNvPr>
          <xdr:cNvSpPr>
            <a:spLocks noChangeArrowheads="1"/>
          </xdr:cNvSpPr>
        </xdr:nvSpPr>
        <xdr:spPr bwMode="auto">
          <a:xfrm>
            <a:off x="314705784338" y="0"/>
            <a:ext cx="2700" cy="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1050" b="0" i="0" u="none" strike="noStrike" baseline="0">
                <a:solidFill>
                  <a:srgbClr val="000000"/>
                </a:solidFill>
                <a:latin typeface="ＭＳ 明朝"/>
                <a:ea typeface="ＭＳ 明朝"/>
              </a:rPr>
              <a:t>整理番号</a:t>
            </a:r>
            <a:endParaRPr lang="ja-JP" altLang="en-US" sz="1050" b="0" i="0" u="none" strike="noStrike" baseline="0">
              <a:solidFill>
                <a:srgbClr val="000000"/>
              </a:solidFill>
              <a:latin typeface="Times New Roman"/>
              <a:cs typeface="Times New Roman"/>
            </a:endParaRPr>
          </a:p>
          <a:p>
            <a:pPr algn="l" rtl="0">
              <a:defRPr sz="1000"/>
            </a:pPr>
            <a:endParaRPr lang="ja-JP" altLang="en-US" sz="1050" b="0" i="0" u="none" strike="noStrike" baseline="0">
              <a:solidFill>
                <a:srgbClr val="000000"/>
              </a:solidFill>
              <a:latin typeface="Times New Roman"/>
              <a:cs typeface="Times New Roman"/>
            </a:endParaRPr>
          </a:p>
        </xdr:txBody>
      </xdr:sp>
      <xdr:sp macro="" textlink="">
        <xdr:nvSpPr>
          <xdr:cNvPr id="66861" name="Line 14">
            <a:extLst>
              <a:ext uri="{FF2B5EF4-FFF2-40B4-BE49-F238E27FC236}">
                <a16:creationId xmlns:a16="http://schemas.microsoft.com/office/drawing/2014/main" id="{00000000-0008-0000-0200-00002D050100}"/>
              </a:ext>
            </a:extLst>
          </xdr:cNvPr>
          <xdr:cNvSpPr>
            <a:spLocks noChangeShapeType="1"/>
          </xdr:cNvSpPr>
        </xdr:nvSpPr>
        <xdr:spPr bwMode="auto">
          <a:xfrm>
            <a:off x="8181" y="518"/>
            <a:ext cx="0" cy="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1000125</xdr:colOff>
      <xdr:row>0</xdr:row>
      <xdr:rowOff>0</xdr:rowOff>
    </xdr:from>
    <xdr:to>
      <xdr:col>12</xdr:col>
      <xdr:colOff>0</xdr:colOff>
      <xdr:row>0</xdr:row>
      <xdr:rowOff>0</xdr:rowOff>
    </xdr:to>
    <xdr:sp macro="" textlink="">
      <xdr:nvSpPr>
        <xdr:cNvPr id="6161" name="Oval 17">
          <a:extLst>
            <a:ext uri="{FF2B5EF4-FFF2-40B4-BE49-F238E27FC236}">
              <a16:creationId xmlns:a16="http://schemas.microsoft.com/office/drawing/2014/main" id="{00000000-0008-0000-0200-000011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6162" name="Oval 18">
          <a:extLst>
            <a:ext uri="{FF2B5EF4-FFF2-40B4-BE49-F238E27FC236}">
              <a16:creationId xmlns:a16="http://schemas.microsoft.com/office/drawing/2014/main" id="{00000000-0008-0000-0200-000012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6163" name="Oval 19">
          <a:extLst>
            <a:ext uri="{FF2B5EF4-FFF2-40B4-BE49-F238E27FC236}">
              <a16:creationId xmlns:a16="http://schemas.microsoft.com/office/drawing/2014/main" id="{00000000-0008-0000-0200-000013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10</xdr:col>
      <xdr:colOff>200025</xdr:colOff>
      <xdr:row>0</xdr:row>
      <xdr:rowOff>0</xdr:rowOff>
    </xdr:from>
    <xdr:to>
      <xdr:col>12</xdr:col>
      <xdr:colOff>0</xdr:colOff>
      <xdr:row>0</xdr:row>
      <xdr:rowOff>0</xdr:rowOff>
    </xdr:to>
    <xdr:grpSp>
      <xdr:nvGrpSpPr>
        <xdr:cNvPr id="66851" name="Group 20">
          <a:extLst>
            <a:ext uri="{FF2B5EF4-FFF2-40B4-BE49-F238E27FC236}">
              <a16:creationId xmlns:a16="http://schemas.microsoft.com/office/drawing/2014/main" id="{00000000-0008-0000-0200-000023050100}"/>
            </a:ext>
          </a:extLst>
        </xdr:cNvPr>
        <xdr:cNvGrpSpPr>
          <a:grpSpLocks/>
        </xdr:cNvGrpSpPr>
      </xdr:nvGrpSpPr>
      <xdr:grpSpPr bwMode="auto">
        <a:xfrm>
          <a:off x="7203168" y="0"/>
          <a:ext cx="1260475" cy="0"/>
          <a:chOff x="7101" y="518"/>
          <a:chExt cx="2700" cy="540"/>
        </a:xfrm>
      </xdr:grpSpPr>
      <xdr:sp macro="" textlink="">
        <xdr:nvSpPr>
          <xdr:cNvPr id="6165" name="Rectangle 21">
            <a:extLst>
              <a:ext uri="{FF2B5EF4-FFF2-40B4-BE49-F238E27FC236}">
                <a16:creationId xmlns:a16="http://schemas.microsoft.com/office/drawing/2014/main" id="{00000000-0008-0000-0200-000015180000}"/>
              </a:ext>
            </a:extLst>
          </xdr:cNvPr>
          <xdr:cNvSpPr>
            <a:spLocks noChangeArrowheads="1"/>
          </xdr:cNvSpPr>
        </xdr:nvSpPr>
        <xdr:spPr bwMode="auto">
          <a:xfrm>
            <a:off x="314705784338" y="0"/>
            <a:ext cx="2700" cy="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1050" b="0" i="0" u="none" strike="noStrike" baseline="0">
                <a:solidFill>
                  <a:srgbClr val="000000"/>
                </a:solidFill>
                <a:latin typeface="ＭＳ 明朝"/>
                <a:ea typeface="ＭＳ 明朝"/>
              </a:rPr>
              <a:t>整理番号</a:t>
            </a:r>
            <a:endParaRPr lang="ja-JP" altLang="en-US" sz="1050" b="0" i="0" u="none" strike="noStrike" baseline="0">
              <a:solidFill>
                <a:srgbClr val="000000"/>
              </a:solidFill>
              <a:latin typeface="Times New Roman"/>
              <a:cs typeface="Times New Roman"/>
            </a:endParaRPr>
          </a:p>
          <a:p>
            <a:pPr algn="l" rtl="0">
              <a:defRPr sz="1000"/>
            </a:pPr>
            <a:endParaRPr lang="ja-JP" altLang="en-US" sz="1050" b="0" i="0" u="none" strike="noStrike" baseline="0">
              <a:solidFill>
                <a:srgbClr val="000000"/>
              </a:solidFill>
              <a:latin typeface="Times New Roman"/>
              <a:cs typeface="Times New Roman"/>
            </a:endParaRPr>
          </a:p>
        </xdr:txBody>
      </xdr:sp>
      <xdr:sp macro="" textlink="">
        <xdr:nvSpPr>
          <xdr:cNvPr id="66859" name="Line 22">
            <a:extLst>
              <a:ext uri="{FF2B5EF4-FFF2-40B4-BE49-F238E27FC236}">
                <a16:creationId xmlns:a16="http://schemas.microsoft.com/office/drawing/2014/main" id="{00000000-0008-0000-0200-00002B050100}"/>
              </a:ext>
            </a:extLst>
          </xdr:cNvPr>
          <xdr:cNvSpPr>
            <a:spLocks noChangeShapeType="1"/>
          </xdr:cNvSpPr>
        </xdr:nvSpPr>
        <xdr:spPr bwMode="auto">
          <a:xfrm>
            <a:off x="8181" y="518"/>
            <a:ext cx="0" cy="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1000125</xdr:colOff>
      <xdr:row>0</xdr:row>
      <xdr:rowOff>0</xdr:rowOff>
    </xdr:from>
    <xdr:to>
      <xdr:col>12</xdr:col>
      <xdr:colOff>0</xdr:colOff>
      <xdr:row>0</xdr:row>
      <xdr:rowOff>0</xdr:rowOff>
    </xdr:to>
    <xdr:sp macro="" textlink="">
      <xdr:nvSpPr>
        <xdr:cNvPr id="6167" name="Oval 23">
          <a:extLst>
            <a:ext uri="{FF2B5EF4-FFF2-40B4-BE49-F238E27FC236}">
              <a16:creationId xmlns:a16="http://schemas.microsoft.com/office/drawing/2014/main" id="{00000000-0008-0000-0200-000017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933450</xdr:colOff>
      <xdr:row>0</xdr:row>
      <xdr:rowOff>0</xdr:rowOff>
    </xdr:from>
    <xdr:to>
      <xdr:col>11</xdr:col>
      <xdr:colOff>952500</xdr:colOff>
      <xdr:row>0</xdr:row>
      <xdr:rowOff>0</xdr:rowOff>
    </xdr:to>
    <xdr:sp macro="" textlink="">
      <xdr:nvSpPr>
        <xdr:cNvPr id="6171" name="Oval 27">
          <a:extLst>
            <a:ext uri="{FF2B5EF4-FFF2-40B4-BE49-F238E27FC236}">
              <a16:creationId xmlns:a16="http://schemas.microsoft.com/office/drawing/2014/main" id="{00000000-0008-0000-0200-00001B180000}"/>
            </a:ext>
          </a:extLst>
        </xdr:cNvPr>
        <xdr:cNvSpPr>
          <a:spLocks noChangeArrowheads="1"/>
        </xdr:cNvSpPr>
      </xdr:nvSpPr>
      <xdr:spPr bwMode="auto">
        <a:xfrm>
          <a:off x="8229600" y="0"/>
          <a:ext cx="1905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6172" name="Oval 28">
          <a:extLst>
            <a:ext uri="{FF2B5EF4-FFF2-40B4-BE49-F238E27FC236}">
              <a16:creationId xmlns:a16="http://schemas.microsoft.com/office/drawing/2014/main" id="{00000000-0008-0000-0200-00001C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6173" name="Oval 29">
          <a:extLst>
            <a:ext uri="{FF2B5EF4-FFF2-40B4-BE49-F238E27FC236}">
              <a16:creationId xmlns:a16="http://schemas.microsoft.com/office/drawing/2014/main" id="{00000000-0008-0000-0200-00001D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1000125</xdr:colOff>
      <xdr:row>0</xdr:row>
      <xdr:rowOff>0</xdr:rowOff>
    </xdr:from>
    <xdr:to>
      <xdr:col>12</xdr:col>
      <xdr:colOff>0</xdr:colOff>
      <xdr:row>0</xdr:row>
      <xdr:rowOff>0</xdr:rowOff>
    </xdr:to>
    <xdr:sp macro="" textlink="">
      <xdr:nvSpPr>
        <xdr:cNvPr id="6174" name="Oval 30">
          <a:extLst>
            <a:ext uri="{FF2B5EF4-FFF2-40B4-BE49-F238E27FC236}">
              <a16:creationId xmlns:a16="http://schemas.microsoft.com/office/drawing/2014/main" id="{00000000-0008-0000-0200-00001E180000}"/>
            </a:ext>
          </a:extLst>
        </xdr:cNvPr>
        <xdr:cNvSpPr>
          <a:spLocks noChangeArrowheads="1"/>
        </xdr:cNvSpPr>
      </xdr:nvSpPr>
      <xdr:spPr bwMode="auto">
        <a:xfrm>
          <a:off x="82486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933450</xdr:colOff>
      <xdr:row>0</xdr:row>
      <xdr:rowOff>0</xdr:rowOff>
    </xdr:from>
    <xdr:to>
      <xdr:col>11</xdr:col>
      <xdr:colOff>952500</xdr:colOff>
      <xdr:row>0</xdr:row>
      <xdr:rowOff>0</xdr:rowOff>
    </xdr:to>
    <xdr:sp macro="" textlink="">
      <xdr:nvSpPr>
        <xdr:cNvPr id="6175" name="Oval 31">
          <a:extLst>
            <a:ext uri="{FF2B5EF4-FFF2-40B4-BE49-F238E27FC236}">
              <a16:creationId xmlns:a16="http://schemas.microsoft.com/office/drawing/2014/main" id="{00000000-0008-0000-0200-00001F180000}"/>
            </a:ext>
          </a:extLst>
        </xdr:cNvPr>
        <xdr:cNvSpPr>
          <a:spLocks noChangeArrowheads="1"/>
        </xdr:cNvSpPr>
      </xdr:nvSpPr>
      <xdr:spPr bwMode="auto">
        <a:xfrm>
          <a:off x="8229600" y="0"/>
          <a:ext cx="1905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29</xdr:row>
      <xdr:rowOff>0</xdr:rowOff>
    </xdr:from>
    <xdr:to>
      <xdr:col>15</xdr:col>
      <xdr:colOff>432756</xdr:colOff>
      <xdr:row>35</xdr:row>
      <xdr:rowOff>84883</xdr:rowOff>
    </xdr:to>
    <xdr:pic>
      <xdr:nvPicPr>
        <xdr:cNvPr id="2" name="図 1">
          <a:extLst>
            <a:ext uri="{FF2B5EF4-FFF2-40B4-BE49-F238E27FC236}">
              <a16:creationId xmlns:a16="http://schemas.microsoft.com/office/drawing/2014/main" id="{30D79573-3C95-4B6A-A830-F43A55D9CC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34400" y="4972050"/>
          <a:ext cx="1042356" cy="11135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1076325</xdr:colOff>
      <xdr:row>0</xdr:row>
      <xdr:rowOff>0</xdr:rowOff>
    </xdr:from>
    <xdr:to>
      <xdr:col>11</xdr:col>
      <xdr:colOff>952500</xdr:colOff>
      <xdr:row>0</xdr:row>
      <xdr:rowOff>0</xdr:rowOff>
    </xdr:to>
    <xdr:sp macro="" textlink="">
      <xdr:nvSpPr>
        <xdr:cNvPr id="2" name="Oval 7">
          <a:extLst>
            <a:ext uri="{FF2B5EF4-FFF2-40B4-BE49-F238E27FC236}">
              <a16:creationId xmlns:a16="http://schemas.microsoft.com/office/drawing/2014/main" id="{00000000-0008-0000-0400-000002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3" name="Oval 8">
          <a:extLst>
            <a:ext uri="{FF2B5EF4-FFF2-40B4-BE49-F238E27FC236}">
              <a16:creationId xmlns:a16="http://schemas.microsoft.com/office/drawing/2014/main" id="{00000000-0008-0000-0400-000003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10</xdr:col>
      <xdr:colOff>200025</xdr:colOff>
      <xdr:row>0</xdr:row>
      <xdr:rowOff>0</xdr:rowOff>
    </xdr:from>
    <xdr:to>
      <xdr:col>12</xdr:col>
      <xdr:colOff>0</xdr:colOff>
      <xdr:row>0</xdr:row>
      <xdr:rowOff>0</xdr:rowOff>
    </xdr:to>
    <xdr:grpSp>
      <xdr:nvGrpSpPr>
        <xdr:cNvPr id="69756" name="Group 12">
          <a:extLst>
            <a:ext uri="{FF2B5EF4-FFF2-40B4-BE49-F238E27FC236}">
              <a16:creationId xmlns:a16="http://schemas.microsoft.com/office/drawing/2014/main" id="{00000000-0008-0000-0400-00007C100100}"/>
            </a:ext>
          </a:extLst>
        </xdr:cNvPr>
        <xdr:cNvGrpSpPr>
          <a:grpSpLocks/>
        </xdr:cNvGrpSpPr>
      </xdr:nvGrpSpPr>
      <xdr:grpSpPr bwMode="auto">
        <a:xfrm>
          <a:off x="7812554" y="0"/>
          <a:ext cx="1256740" cy="0"/>
          <a:chOff x="7101" y="518"/>
          <a:chExt cx="2700" cy="540"/>
        </a:xfrm>
      </xdr:grpSpPr>
      <xdr:sp macro="" textlink="">
        <xdr:nvSpPr>
          <xdr:cNvPr id="5" name="Rectangle 13">
            <a:extLst>
              <a:ext uri="{FF2B5EF4-FFF2-40B4-BE49-F238E27FC236}">
                <a16:creationId xmlns:a16="http://schemas.microsoft.com/office/drawing/2014/main" id="{00000000-0008-0000-0400-000005000000}"/>
              </a:ext>
            </a:extLst>
          </xdr:cNvPr>
          <xdr:cNvSpPr>
            <a:spLocks noChangeArrowheads="1"/>
          </xdr:cNvSpPr>
        </xdr:nvSpPr>
        <xdr:spPr bwMode="auto">
          <a:xfrm>
            <a:off x="314705784338" y="0"/>
            <a:ext cx="2700" cy="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1050" b="0" i="0" u="none" strike="noStrike" baseline="0">
                <a:solidFill>
                  <a:srgbClr val="000000"/>
                </a:solidFill>
                <a:latin typeface="ＭＳ 明朝"/>
                <a:ea typeface="ＭＳ 明朝"/>
              </a:rPr>
              <a:t>整理番号</a:t>
            </a:r>
            <a:endParaRPr lang="ja-JP" altLang="en-US" sz="1050" b="0" i="0" u="none" strike="noStrike" baseline="0">
              <a:solidFill>
                <a:srgbClr val="000000"/>
              </a:solidFill>
              <a:latin typeface="Times New Roman"/>
              <a:cs typeface="Times New Roman"/>
            </a:endParaRPr>
          </a:p>
          <a:p>
            <a:pPr algn="l" rtl="0">
              <a:defRPr sz="1000"/>
            </a:pPr>
            <a:endParaRPr lang="ja-JP" altLang="en-US" sz="1050" b="0" i="0" u="none" strike="noStrike" baseline="0">
              <a:solidFill>
                <a:srgbClr val="000000"/>
              </a:solidFill>
              <a:latin typeface="Times New Roman"/>
              <a:cs typeface="Times New Roman"/>
            </a:endParaRPr>
          </a:p>
        </xdr:txBody>
      </xdr:sp>
      <xdr:sp macro="" textlink="">
        <xdr:nvSpPr>
          <xdr:cNvPr id="69770" name="Line 14">
            <a:extLst>
              <a:ext uri="{FF2B5EF4-FFF2-40B4-BE49-F238E27FC236}">
                <a16:creationId xmlns:a16="http://schemas.microsoft.com/office/drawing/2014/main" id="{00000000-0008-0000-0400-00008A100100}"/>
              </a:ext>
            </a:extLst>
          </xdr:cNvPr>
          <xdr:cNvSpPr>
            <a:spLocks noChangeShapeType="1"/>
          </xdr:cNvSpPr>
        </xdr:nvSpPr>
        <xdr:spPr bwMode="auto">
          <a:xfrm>
            <a:off x="8181" y="518"/>
            <a:ext cx="0" cy="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1000125</xdr:colOff>
      <xdr:row>0</xdr:row>
      <xdr:rowOff>0</xdr:rowOff>
    </xdr:from>
    <xdr:to>
      <xdr:col>12</xdr:col>
      <xdr:colOff>0</xdr:colOff>
      <xdr:row>0</xdr:row>
      <xdr:rowOff>0</xdr:rowOff>
    </xdr:to>
    <xdr:sp macro="" textlink="">
      <xdr:nvSpPr>
        <xdr:cNvPr id="7" name="Oval 17">
          <a:extLst>
            <a:ext uri="{FF2B5EF4-FFF2-40B4-BE49-F238E27FC236}">
              <a16:creationId xmlns:a16="http://schemas.microsoft.com/office/drawing/2014/main" id="{00000000-0008-0000-0400-000007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8" name="Oval 18">
          <a:extLst>
            <a:ext uri="{FF2B5EF4-FFF2-40B4-BE49-F238E27FC236}">
              <a16:creationId xmlns:a16="http://schemas.microsoft.com/office/drawing/2014/main" id="{00000000-0008-0000-0400-000008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9" name="Oval 19">
          <a:extLst>
            <a:ext uri="{FF2B5EF4-FFF2-40B4-BE49-F238E27FC236}">
              <a16:creationId xmlns:a16="http://schemas.microsoft.com/office/drawing/2014/main" id="{00000000-0008-0000-0400-000009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10</xdr:col>
      <xdr:colOff>200025</xdr:colOff>
      <xdr:row>0</xdr:row>
      <xdr:rowOff>0</xdr:rowOff>
    </xdr:from>
    <xdr:to>
      <xdr:col>12</xdr:col>
      <xdr:colOff>0</xdr:colOff>
      <xdr:row>0</xdr:row>
      <xdr:rowOff>0</xdr:rowOff>
    </xdr:to>
    <xdr:grpSp>
      <xdr:nvGrpSpPr>
        <xdr:cNvPr id="69760" name="Group 20">
          <a:extLst>
            <a:ext uri="{FF2B5EF4-FFF2-40B4-BE49-F238E27FC236}">
              <a16:creationId xmlns:a16="http://schemas.microsoft.com/office/drawing/2014/main" id="{00000000-0008-0000-0400-000080100100}"/>
            </a:ext>
          </a:extLst>
        </xdr:cNvPr>
        <xdr:cNvGrpSpPr>
          <a:grpSpLocks/>
        </xdr:cNvGrpSpPr>
      </xdr:nvGrpSpPr>
      <xdr:grpSpPr bwMode="auto">
        <a:xfrm>
          <a:off x="7812554" y="0"/>
          <a:ext cx="1256740" cy="0"/>
          <a:chOff x="7101" y="518"/>
          <a:chExt cx="2700" cy="540"/>
        </a:xfrm>
      </xdr:grpSpPr>
      <xdr:sp macro="" textlink="">
        <xdr:nvSpPr>
          <xdr:cNvPr id="11" name="Rectangle 21">
            <a:extLst>
              <a:ext uri="{FF2B5EF4-FFF2-40B4-BE49-F238E27FC236}">
                <a16:creationId xmlns:a16="http://schemas.microsoft.com/office/drawing/2014/main" id="{00000000-0008-0000-0400-00000B000000}"/>
              </a:ext>
            </a:extLst>
          </xdr:cNvPr>
          <xdr:cNvSpPr>
            <a:spLocks noChangeArrowheads="1"/>
          </xdr:cNvSpPr>
        </xdr:nvSpPr>
        <xdr:spPr bwMode="auto">
          <a:xfrm>
            <a:off x="314705784338" y="0"/>
            <a:ext cx="2700" cy="0"/>
          </a:xfrm>
          <a:prstGeom prst="rect">
            <a:avLst/>
          </a:prstGeom>
          <a:solidFill>
            <a:srgbClr val="FFFFFF"/>
          </a:solidFill>
          <a:ln w="9525">
            <a:solidFill>
              <a:srgbClr val="000000"/>
            </a:solidFill>
            <a:miter lim="800000"/>
            <a:headEnd/>
            <a:tailEnd/>
          </a:ln>
        </xdr:spPr>
        <xdr:txBody>
          <a:bodyPr vertOverflow="clip" wrap="square" lIns="74295" tIns="8890" rIns="74295" bIns="8890" anchor="t" upright="1"/>
          <a:lstStyle/>
          <a:p>
            <a:pPr algn="l" rtl="0">
              <a:defRPr sz="1000"/>
            </a:pPr>
            <a:r>
              <a:rPr lang="ja-JP" altLang="en-US" sz="1050" b="0" i="0" u="none" strike="noStrike" baseline="0">
                <a:solidFill>
                  <a:srgbClr val="000000"/>
                </a:solidFill>
                <a:latin typeface="ＭＳ 明朝"/>
                <a:ea typeface="ＭＳ 明朝"/>
              </a:rPr>
              <a:t>整理番号</a:t>
            </a:r>
            <a:endParaRPr lang="ja-JP" altLang="en-US" sz="1050" b="0" i="0" u="none" strike="noStrike" baseline="0">
              <a:solidFill>
                <a:srgbClr val="000000"/>
              </a:solidFill>
              <a:latin typeface="Times New Roman"/>
              <a:cs typeface="Times New Roman"/>
            </a:endParaRPr>
          </a:p>
          <a:p>
            <a:pPr algn="l" rtl="0">
              <a:defRPr sz="1000"/>
            </a:pPr>
            <a:endParaRPr lang="ja-JP" altLang="en-US" sz="1050" b="0" i="0" u="none" strike="noStrike" baseline="0">
              <a:solidFill>
                <a:srgbClr val="000000"/>
              </a:solidFill>
              <a:latin typeface="Times New Roman"/>
              <a:cs typeface="Times New Roman"/>
            </a:endParaRPr>
          </a:p>
        </xdr:txBody>
      </xdr:sp>
      <xdr:sp macro="" textlink="">
        <xdr:nvSpPr>
          <xdr:cNvPr id="69768" name="Line 22">
            <a:extLst>
              <a:ext uri="{FF2B5EF4-FFF2-40B4-BE49-F238E27FC236}">
                <a16:creationId xmlns:a16="http://schemas.microsoft.com/office/drawing/2014/main" id="{00000000-0008-0000-0400-000088100100}"/>
              </a:ext>
            </a:extLst>
          </xdr:cNvPr>
          <xdr:cNvSpPr>
            <a:spLocks noChangeShapeType="1"/>
          </xdr:cNvSpPr>
        </xdr:nvSpPr>
        <xdr:spPr bwMode="auto">
          <a:xfrm>
            <a:off x="8181" y="518"/>
            <a:ext cx="0" cy="5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11</xdr:col>
      <xdr:colOff>1000125</xdr:colOff>
      <xdr:row>0</xdr:row>
      <xdr:rowOff>0</xdr:rowOff>
    </xdr:from>
    <xdr:to>
      <xdr:col>12</xdr:col>
      <xdr:colOff>0</xdr:colOff>
      <xdr:row>0</xdr:row>
      <xdr:rowOff>0</xdr:rowOff>
    </xdr:to>
    <xdr:sp macro="" textlink="">
      <xdr:nvSpPr>
        <xdr:cNvPr id="13" name="Oval 23">
          <a:extLst>
            <a:ext uri="{FF2B5EF4-FFF2-40B4-BE49-F238E27FC236}">
              <a16:creationId xmlns:a16="http://schemas.microsoft.com/office/drawing/2014/main" id="{00000000-0008-0000-0400-00000D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933450</xdr:colOff>
      <xdr:row>0</xdr:row>
      <xdr:rowOff>0</xdr:rowOff>
    </xdr:from>
    <xdr:to>
      <xdr:col>11</xdr:col>
      <xdr:colOff>952500</xdr:colOff>
      <xdr:row>0</xdr:row>
      <xdr:rowOff>0</xdr:rowOff>
    </xdr:to>
    <xdr:sp macro="" textlink="">
      <xdr:nvSpPr>
        <xdr:cNvPr id="14" name="Oval 27">
          <a:extLst>
            <a:ext uri="{FF2B5EF4-FFF2-40B4-BE49-F238E27FC236}">
              <a16:creationId xmlns:a16="http://schemas.microsoft.com/office/drawing/2014/main" id="{00000000-0008-0000-0400-00000E000000}"/>
            </a:ext>
          </a:extLst>
        </xdr:cNvPr>
        <xdr:cNvSpPr>
          <a:spLocks noChangeArrowheads="1"/>
        </xdr:cNvSpPr>
      </xdr:nvSpPr>
      <xdr:spPr bwMode="auto">
        <a:xfrm>
          <a:off x="9182100" y="0"/>
          <a:ext cx="1905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15" name="Oval 28">
          <a:extLst>
            <a:ext uri="{FF2B5EF4-FFF2-40B4-BE49-F238E27FC236}">
              <a16:creationId xmlns:a16="http://schemas.microsoft.com/office/drawing/2014/main" id="{00000000-0008-0000-0400-00000F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1076325</xdr:colOff>
      <xdr:row>0</xdr:row>
      <xdr:rowOff>0</xdr:rowOff>
    </xdr:from>
    <xdr:to>
      <xdr:col>11</xdr:col>
      <xdr:colOff>952500</xdr:colOff>
      <xdr:row>0</xdr:row>
      <xdr:rowOff>0</xdr:rowOff>
    </xdr:to>
    <xdr:sp macro="" textlink="">
      <xdr:nvSpPr>
        <xdr:cNvPr id="16" name="Oval 29">
          <a:extLst>
            <a:ext uri="{FF2B5EF4-FFF2-40B4-BE49-F238E27FC236}">
              <a16:creationId xmlns:a16="http://schemas.microsoft.com/office/drawing/2014/main" id="{00000000-0008-0000-0400-000010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1000125</xdr:colOff>
      <xdr:row>0</xdr:row>
      <xdr:rowOff>0</xdr:rowOff>
    </xdr:from>
    <xdr:to>
      <xdr:col>12</xdr:col>
      <xdr:colOff>0</xdr:colOff>
      <xdr:row>0</xdr:row>
      <xdr:rowOff>0</xdr:rowOff>
    </xdr:to>
    <xdr:sp macro="" textlink="">
      <xdr:nvSpPr>
        <xdr:cNvPr id="17" name="Oval 30">
          <a:extLst>
            <a:ext uri="{FF2B5EF4-FFF2-40B4-BE49-F238E27FC236}">
              <a16:creationId xmlns:a16="http://schemas.microsoft.com/office/drawing/2014/main" id="{00000000-0008-0000-0400-000011000000}"/>
            </a:ext>
          </a:extLst>
        </xdr:cNvPr>
        <xdr:cNvSpPr>
          <a:spLocks noChangeArrowheads="1"/>
        </xdr:cNvSpPr>
      </xdr:nvSpPr>
      <xdr:spPr bwMode="auto">
        <a:xfrm>
          <a:off x="9201150" y="0"/>
          <a:ext cx="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xdr:from>
      <xdr:col>11</xdr:col>
      <xdr:colOff>933450</xdr:colOff>
      <xdr:row>0</xdr:row>
      <xdr:rowOff>0</xdr:rowOff>
    </xdr:from>
    <xdr:to>
      <xdr:col>11</xdr:col>
      <xdr:colOff>952500</xdr:colOff>
      <xdr:row>0</xdr:row>
      <xdr:rowOff>0</xdr:rowOff>
    </xdr:to>
    <xdr:sp macro="" textlink="">
      <xdr:nvSpPr>
        <xdr:cNvPr id="18" name="Oval 31">
          <a:extLst>
            <a:ext uri="{FF2B5EF4-FFF2-40B4-BE49-F238E27FC236}">
              <a16:creationId xmlns:a16="http://schemas.microsoft.com/office/drawing/2014/main" id="{00000000-0008-0000-0400-000012000000}"/>
            </a:ext>
          </a:extLst>
        </xdr:cNvPr>
        <xdr:cNvSpPr>
          <a:spLocks noChangeArrowheads="1"/>
        </xdr:cNvSpPr>
      </xdr:nvSpPr>
      <xdr:spPr bwMode="auto">
        <a:xfrm>
          <a:off x="9182100" y="0"/>
          <a:ext cx="19050" cy="0"/>
        </a:xfrm>
        <a:prstGeom prst="ellipse">
          <a:avLst/>
        </a:prstGeom>
        <a:solidFill>
          <a:srgbClr val="FFFFFF"/>
        </a:solidFill>
        <a:ln w="9525">
          <a:solidFill>
            <a:srgbClr val="000000"/>
          </a:solidFill>
          <a:round/>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印</a:t>
          </a:r>
        </a:p>
      </xdr:txBody>
    </xdr:sp>
    <xdr:clientData/>
  </xdr:twoCellAnchor>
  <xdr:twoCellAnchor editAs="oneCell">
    <xdr:from>
      <xdr:col>14</xdr:col>
      <xdr:colOff>331694</xdr:colOff>
      <xdr:row>8</xdr:row>
      <xdr:rowOff>179294</xdr:rowOff>
    </xdr:from>
    <xdr:to>
      <xdr:col>16</xdr:col>
      <xdr:colOff>127956</xdr:colOff>
      <xdr:row>13</xdr:row>
      <xdr:rowOff>37818</xdr:rowOff>
    </xdr:to>
    <xdr:pic>
      <xdr:nvPicPr>
        <xdr:cNvPr id="4" name="図 3">
          <a:extLst>
            <a:ext uri="{FF2B5EF4-FFF2-40B4-BE49-F238E27FC236}">
              <a16:creationId xmlns:a16="http://schemas.microsoft.com/office/drawing/2014/main" id="{EB3F2DEC-4337-4BEC-80E9-31BEBFD05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95529" y="2330823"/>
          <a:ext cx="1042356" cy="11135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121</xdr:row>
      <xdr:rowOff>0</xdr:rowOff>
    </xdr:from>
    <xdr:to>
      <xdr:col>10</xdr:col>
      <xdr:colOff>31749</xdr:colOff>
      <xdr:row>129</xdr:row>
      <xdr:rowOff>15875</xdr:rowOff>
    </xdr:to>
    <xdr:cxnSp macro="">
      <xdr:nvCxnSpPr>
        <xdr:cNvPr id="2" name="直線コネクタ 1">
          <a:extLst>
            <a:ext uri="{FF2B5EF4-FFF2-40B4-BE49-F238E27FC236}">
              <a16:creationId xmlns:a16="http://schemas.microsoft.com/office/drawing/2014/main" id="{18847AFF-8A98-4BE1-8E3C-140E76342F3F}"/>
            </a:ext>
          </a:extLst>
        </xdr:cNvPr>
        <xdr:cNvCxnSpPr/>
      </xdr:nvCxnSpPr>
      <xdr:spPr>
        <a:xfrm flipH="1">
          <a:off x="6619875" y="21288375"/>
          <a:ext cx="31749" cy="1349375"/>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103187</xdr:colOff>
      <xdr:row>30</xdr:row>
      <xdr:rowOff>71439</xdr:rowOff>
    </xdr:from>
    <xdr:to>
      <xdr:col>15</xdr:col>
      <xdr:colOff>600448</xdr:colOff>
      <xdr:row>32</xdr:row>
      <xdr:rowOff>28016</xdr:rowOff>
    </xdr:to>
    <xdr:sp macro="" textlink="">
      <xdr:nvSpPr>
        <xdr:cNvPr id="15" name="テキスト ボックス 14">
          <a:extLst>
            <a:ext uri="{FF2B5EF4-FFF2-40B4-BE49-F238E27FC236}">
              <a16:creationId xmlns:a16="http://schemas.microsoft.com/office/drawing/2014/main" id="{EC008C9C-8D5E-4855-AEB2-8DF73F479505}"/>
            </a:ext>
          </a:extLst>
        </xdr:cNvPr>
        <xdr:cNvSpPr txBox="1"/>
      </xdr:nvSpPr>
      <xdr:spPr>
        <a:xfrm>
          <a:off x="9501187" y="6040439"/>
          <a:ext cx="1132261" cy="33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2025/09/26</a:t>
          </a:r>
          <a:endParaRPr kumimoji="1" lang="ja-JP" altLang="en-US" sz="1100" b="1">
            <a:solidFill>
              <a:srgbClr val="FF0000"/>
            </a:solidFill>
          </a:endParaRPr>
        </a:p>
      </xdr:txBody>
    </xdr:sp>
    <xdr:clientData/>
  </xdr:twoCellAnchor>
  <xdr:twoCellAnchor>
    <xdr:from>
      <xdr:col>13</xdr:col>
      <xdr:colOff>158750</xdr:colOff>
      <xdr:row>16</xdr:row>
      <xdr:rowOff>158750</xdr:rowOff>
    </xdr:from>
    <xdr:to>
      <xdr:col>13</xdr:col>
      <xdr:colOff>174628</xdr:colOff>
      <xdr:row>22</xdr:row>
      <xdr:rowOff>127004</xdr:rowOff>
    </xdr:to>
    <xdr:cxnSp macro="">
      <xdr:nvCxnSpPr>
        <xdr:cNvPr id="7" name="直線コネクタ 6">
          <a:extLst>
            <a:ext uri="{FF2B5EF4-FFF2-40B4-BE49-F238E27FC236}">
              <a16:creationId xmlns:a16="http://schemas.microsoft.com/office/drawing/2014/main" id="{AE270425-A939-4745-9840-03DA08F9AEDA}"/>
            </a:ext>
          </a:extLst>
        </xdr:cNvPr>
        <xdr:cNvCxnSpPr/>
      </xdr:nvCxnSpPr>
      <xdr:spPr>
        <a:xfrm>
          <a:off x="8636000" y="3182938"/>
          <a:ext cx="15878" cy="96837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611190</xdr:colOff>
      <xdr:row>26</xdr:row>
      <xdr:rowOff>47630</xdr:rowOff>
    </xdr:from>
    <xdr:to>
      <xdr:col>13</xdr:col>
      <xdr:colOff>473451</xdr:colOff>
      <xdr:row>28</xdr:row>
      <xdr:rowOff>4207</xdr:rowOff>
    </xdr:to>
    <xdr:sp macro="" textlink="">
      <xdr:nvSpPr>
        <xdr:cNvPr id="8" name="テキスト ボックス 7">
          <a:extLst>
            <a:ext uri="{FF2B5EF4-FFF2-40B4-BE49-F238E27FC236}">
              <a16:creationId xmlns:a16="http://schemas.microsoft.com/office/drawing/2014/main" id="{41041F06-986C-4DE8-9EB5-3F37F032DFFA}"/>
            </a:ext>
          </a:extLst>
        </xdr:cNvPr>
        <xdr:cNvSpPr txBox="1"/>
      </xdr:nvSpPr>
      <xdr:spPr>
        <a:xfrm>
          <a:off x="7850190" y="4738693"/>
          <a:ext cx="1100511" cy="289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2025/12/</a:t>
          </a:r>
          <a:endParaRPr kumimoji="1" lang="ja-JP" altLang="en-US" sz="1100" b="1">
            <a:solidFill>
              <a:srgbClr val="FF0000"/>
            </a:solidFill>
          </a:endParaRPr>
        </a:p>
      </xdr:txBody>
    </xdr:sp>
    <xdr:clientData/>
  </xdr:twoCellAnchor>
  <xdr:twoCellAnchor>
    <xdr:from>
      <xdr:col>11</xdr:col>
      <xdr:colOff>382590</xdr:colOff>
      <xdr:row>11</xdr:row>
      <xdr:rowOff>31751</xdr:rowOff>
    </xdr:from>
    <xdr:to>
      <xdr:col>11</xdr:col>
      <xdr:colOff>388937</xdr:colOff>
      <xdr:row>15</xdr:row>
      <xdr:rowOff>9530</xdr:rowOff>
    </xdr:to>
    <xdr:cxnSp macro="">
      <xdr:nvCxnSpPr>
        <xdr:cNvPr id="10" name="直線コネクタ 9">
          <a:extLst>
            <a:ext uri="{FF2B5EF4-FFF2-40B4-BE49-F238E27FC236}">
              <a16:creationId xmlns:a16="http://schemas.microsoft.com/office/drawing/2014/main" id="{0E5CA541-3240-4344-A345-82854E972FDE}"/>
            </a:ext>
          </a:extLst>
        </xdr:cNvPr>
        <xdr:cNvCxnSpPr/>
      </xdr:nvCxnSpPr>
      <xdr:spPr>
        <a:xfrm flipH="1">
          <a:off x="7621590" y="2222501"/>
          <a:ext cx="6347" cy="644529"/>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382590</xdr:colOff>
      <xdr:row>11</xdr:row>
      <xdr:rowOff>31751</xdr:rowOff>
    </xdr:from>
    <xdr:to>
      <xdr:col>13</xdr:col>
      <xdr:colOff>150812</xdr:colOff>
      <xdr:row>17</xdr:row>
      <xdr:rowOff>23813</xdr:rowOff>
    </xdr:to>
    <xdr:cxnSp macro="">
      <xdr:nvCxnSpPr>
        <xdr:cNvPr id="12" name="直線コネクタ 11">
          <a:extLst>
            <a:ext uri="{FF2B5EF4-FFF2-40B4-BE49-F238E27FC236}">
              <a16:creationId xmlns:a16="http://schemas.microsoft.com/office/drawing/2014/main" id="{D2276249-F68B-4012-9210-0D840C33066F}"/>
            </a:ext>
          </a:extLst>
        </xdr:cNvPr>
        <xdr:cNvCxnSpPr/>
      </xdr:nvCxnSpPr>
      <xdr:spPr>
        <a:xfrm>
          <a:off x="7621590" y="2222501"/>
          <a:ext cx="1006472" cy="99218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269875</xdr:colOff>
      <xdr:row>22</xdr:row>
      <xdr:rowOff>79375</xdr:rowOff>
    </xdr:from>
    <xdr:to>
      <xdr:col>17</xdr:col>
      <xdr:colOff>279406</xdr:colOff>
      <xdr:row>27</xdr:row>
      <xdr:rowOff>63505</xdr:rowOff>
    </xdr:to>
    <xdr:cxnSp macro="">
      <xdr:nvCxnSpPr>
        <xdr:cNvPr id="16" name="直線コネクタ 15">
          <a:extLst>
            <a:ext uri="{FF2B5EF4-FFF2-40B4-BE49-F238E27FC236}">
              <a16:creationId xmlns:a16="http://schemas.microsoft.com/office/drawing/2014/main" id="{F36AA88B-B03D-4A0A-8019-8C8773DDA9CE}"/>
            </a:ext>
          </a:extLst>
        </xdr:cNvPr>
        <xdr:cNvCxnSpPr/>
      </xdr:nvCxnSpPr>
      <xdr:spPr>
        <a:xfrm>
          <a:off x="11572875" y="4524375"/>
          <a:ext cx="9531" cy="93663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595312</xdr:colOff>
      <xdr:row>20</xdr:row>
      <xdr:rowOff>134938</xdr:rowOff>
    </xdr:from>
    <xdr:to>
      <xdr:col>16</xdr:col>
      <xdr:colOff>606431</xdr:colOff>
      <xdr:row>24</xdr:row>
      <xdr:rowOff>136529</xdr:rowOff>
    </xdr:to>
    <xdr:cxnSp macro="">
      <xdr:nvCxnSpPr>
        <xdr:cNvPr id="18" name="直線コネクタ 17">
          <a:extLst>
            <a:ext uri="{FF2B5EF4-FFF2-40B4-BE49-F238E27FC236}">
              <a16:creationId xmlns:a16="http://schemas.microsoft.com/office/drawing/2014/main" id="{FF069DD9-B50C-4CA3-9D9A-796A245C01A5}"/>
            </a:ext>
          </a:extLst>
        </xdr:cNvPr>
        <xdr:cNvCxnSpPr/>
      </xdr:nvCxnSpPr>
      <xdr:spPr>
        <a:xfrm>
          <a:off x="11263312" y="4198938"/>
          <a:ext cx="11119" cy="76359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373063</xdr:colOff>
      <xdr:row>67</xdr:row>
      <xdr:rowOff>119063</xdr:rowOff>
    </xdr:from>
    <xdr:to>
      <xdr:col>13</xdr:col>
      <xdr:colOff>388941</xdr:colOff>
      <xdr:row>76</xdr:row>
      <xdr:rowOff>127006</xdr:rowOff>
    </xdr:to>
    <xdr:cxnSp macro="">
      <xdr:nvCxnSpPr>
        <xdr:cNvPr id="22" name="直線コネクタ 21">
          <a:extLst>
            <a:ext uri="{FF2B5EF4-FFF2-40B4-BE49-F238E27FC236}">
              <a16:creationId xmlns:a16="http://schemas.microsoft.com/office/drawing/2014/main" id="{EA7FD3EE-3F78-4DEC-B290-6172EF294792}"/>
            </a:ext>
          </a:extLst>
        </xdr:cNvPr>
        <xdr:cNvCxnSpPr/>
      </xdr:nvCxnSpPr>
      <xdr:spPr>
        <a:xfrm>
          <a:off x="8850313" y="12025313"/>
          <a:ext cx="15878" cy="1508131"/>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206378</xdr:colOff>
      <xdr:row>81</xdr:row>
      <xdr:rowOff>150820</xdr:rowOff>
    </xdr:from>
    <xdr:to>
      <xdr:col>12</xdr:col>
      <xdr:colOff>68639</xdr:colOff>
      <xdr:row>83</xdr:row>
      <xdr:rowOff>99459</xdr:rowOff>
    </xdr:to>
    <xdr:sp macro="" textlink="">
      <xdr:nvSpPr>
        <xdr:cNvPr id="23" name="テキスト ボックス 22">
          <a:extLst>
            <a:ext uri="{FF2B5EF4-FFF2-40B4-BE49-F238E27FC236}">
              <a16:creationId xmlns:a16="http://schemas.microsoft.com/office/drawing/2014/main" id="{6417B89E-1C67-4F62-9A8D-E6E146A738A7}"/>
            </a:ext>
          </a:extLst>
        </xdr:cNvPr>
        <xdr:cNvSpPr txBox="1"/>
      </xdr:nvSpPr>
      <xdr:spPr>
        <a:xfrm>
          <a:off x="6826253" y="14390695"/>
          <a:ext cx="1100511" cy="289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rPr>
            <a:t>2025/02/17</a:t>
          </a:r>
          <a:endParaRPr kumimoji="1" lang="ja-JP" altLang="en-US" sz="1200" b="1">
            <a:solidFill>
              <a:srgbClr val="FF0000"/>
            </a:solidFill>
          </a:endParaRPr>
        </a:p>
      </xdr:txBody>
    </xdr:sp>
    <xdr:clientData/>
  </xdr:twoCellAnchor>
  <xdr:twoCellAnchor>
    <xdr:from>
      <xdr:col>13</xdr:col>
      <xdr:colOff>158752</xdr:colOff>
      <xdr:row>68</xdr:row>
      <xdr:rowOff>7940</xdr:rowOff>
    </xdr:from>
    <xdr:to>
      <xdr:col>13</xdr:col>
      <xdr:colOff>168283</xdr:colOff>
      <xdr:row>72</xdr:row>
      <xdr:rowOff>158757</xdr:rowOff>
    </xdr:to>
    <xdr:cxnSp macro="">
      <xdr:nvCxnSpPr>
        <xdr:cNvPr id="25" name="直線コネクタ 24">
          <a:extLst>
            <a:ext uri="{FF2B5EF4-FFF2-40B4-BE49-F238E27FC236}">
              <a16:creationId xmlns:a16="http://schemas.microsoft.com/office/drawing/2014/main" id="{BF53FD23-84BD-4F08-8AF4-68DE56E8F0E9}"/>
            </a:ext>
          </a:extLst>
        </xdr:cNvPr>
        <xdr:cNvCxnSpPr/>
      </xdr:nvCxnSpPr>
      <xdr:spPr>
        <a:xfrm>
          <a:off x="8636002" y="12080878"/>
          <a:ext cx="9531" cy="81756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565152</xdr:colOff>
      <xdr:row>67</xdr:row>
      <xdr:rowOff>33341</xdr:rowOff>
    </xdr:from>
    <xdr:to>
      <xdr:col>13</xdr:col>
      <xdr:colOff>574683</xdr:colOff>
      <xdr:row>70</xdr:row>
      <xdr:rowOff>37278</xdr:rowOff>
    </xdr:to>
    <xdr:cxnSp macro="">
      <xdr:nvCxnSpPr>
        <xdr:cNvPr id="26" name="直線コネクタ 25">
          <a:extLst>
            <a:ext uri="{FF2B5EF4-FFF2-40B4-BE49-F238E27FC236}">
              <a16:creationId xmlns:a16="http://schemas.microsoft.com/office/drawing/2014/main" id="{8C125FFC-B7A8-4AAE-B801-439898470CCC}"/>
            </a:ext>
          </a:extLst>
        </xdr:cNvPr>
        <xdr:cNvCxnSpPr/>
      </xdr:nvCxnSpPr>
      <xdr:spPr>
        <a:xfrm>
          <a:off x="9042402" y="11939591"/>
          <a:ext cx="9531" cy="50400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150813</xdr:colOff>
      <xdr:row>67</xdr:row>
      <xdr:rowOff>47625</xdr:rowOff>
    </xdr:from>
    <xdr:to>
      <xdr:col>13</xdr:col>
      <xdr:colOff>555625</xdr:colOff>
      <xdr:row>68</xdr:row>
      <xdr:rowOff>31750</xdr:rowOff>
    </xdr:to>
    <xdr:cxnSp macro="">
      <xdr:nvCxnSpPr>
        <xdr:cNvPr id="27" name="直線コネクタ 26">
          <a:extLst>
            <a:ext uri="{FF2B5EF4-FFF2-40B4-BE49-F238E27FC236}">
              <a16:creationId xmlns:a16="http://schemas.microsoft.com/office/drawing/2014/main" id="{52C70EE7-EA3F-4675-9133-722AA53E2372}"/>
            </a:ext>
          </a:extLst>
        </xdr:cNvPr>
        <xdr:cNvCxnSpPr/>
      </xdr:nvCxnSpPr>
      <xdr:spPr>
        <a:xfrm flipH="1">
          <a:off x="8628063" y="11953875"/>
          <a:ext cx="404812" cy="150813"/>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168276</xdr:colOff>
      <xdr:row>72</xdr:row>
      <xdr:rowOff>71437</xdr:rowOff>
    </xdr:from>
    <xdr:to>
      <xdr:col>13</xdr:col>
      <xdr:colOff>365125</xdr:colOff>
      <xdr:row>72</xdr:row>
      <xdr:rowOff>144463</xdr:rowOff>
    </xdr:to>
    <xdr:cxnSp macro="">
      <xdr:nvCxnSpPr>
        <xdr:cNvPr id="30" name="直線コネクタ 29">
          <a:extLst>
            <a:ext uri="{FF2B5EF4-FFF2-40B4-BE49-F238E27FC236}">
              <a16:creationId xmlns:a16="http://schemas.microsoft.com/office/drawing/2014/main" id="{853F7E54-94FF-4B08-B6D2-5811CAD87194}"/>
            </a:ext>
          </a:extLst>
        </xdr:cNvPr>
        <xdr:cNvCxnSpPr/>
      </xdr:nvCxnSpPr>
      <xdr:spPr>
        <a:xfrm flipH="1">
          <a:off x="8645526" y="12811125"/>
          <a:ext cx="196849" cy="73026"/>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384176</xdr:colOff>
      <xdr:row>70</xdr:row>
      <xdr:rowOff>33337</xdr:rowOff>
    </xdr:from>
    <xdr:to>
      <xdr:col>13</xdr:col>
      <xdr:colOff>581025</xdr:colOff>
      <xdr:row>70</xdr:row>
      <xdr:rowOff>106363</xdr:rowOff>
    </xdr:to>
    <xdr:cxnSp macro="">
      <xdr:nvCxnSpPr>
        <xdr:cNvPr id="32" name="直線コネクタ 31">
          <a:extLst>
            <a:ext uri="{FF2B5EF4-FFF2-40B4-BE49-F238E27FC236}">
              <a16:creationId xmlns:a16="http://schemas.microsoft.com/office/drawing/2014/main" id="{AE7E32AA-9451-4D26-96E8-DCE795E38ED1}"/>
            </a:ext>
          </a:extLst>
        </xdr:cNvPr>
        <xdr:cNvCxnSpPr/>
      </xdr:nvCxnSpPr>
      <xdr:spPr>
        <a:xfrm flipH="1">
          <a:off x="8861426" y="12439650"/>
          <a:ext cx="196849" cy="73026"/>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198437</xdr:colOff>
      <xdr:row>7</xdr:row>
      <xdr:rowOff>103190</xdr:rowOff>
    </xdr:from>
    <xdr:to>
      <xdr:col>12</xdr:col>
      <xdr:colOff>460375</xdr:colOff>
      <xdr:row>13</xdr:row>
      <xdr:rowOff>87313</xdr:rowOff>
    </xdr:to>
    <xdr:cxnSp macro="">
      <xdr:nvCxnSpPr>
        <xdr:cNvPr id="9" name="直線コネクタ 8">
          <a:extLst>
            <a:ext uri="{FF2B5EF4-FFF2-40B4-BE49-F238E27FC236}">
              <a16:creationId xmlns:a16="http://schemas.microsoft.com/office/drawing/2014/main" id="{83B239AA-05CC-4507-9EF4-AE0CE7C5B13C}"/>
            </a:ext>
          </a:extLst>
        </xdr:cNvPr>
        <xdr:cNvCxnSpPr/>
      </xdr:nvCxnSpPr>
      <xdr:spPr>
        <a:xfrm>
          <a:off x="6818312" y="1619253"/>
          <a:ext cx="1500188" cy="992185"/>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406399</xdr:colOff>
      <xdr:row>63</xdr:row>
      <xdr:rowOff>119063</xdr:rowOff>
    </xdr:from>
    <xdr:to>
      <xdr:col>18</xdr:col>
      <xdr:colOff>609596</xdr:colOff>
      <xdr:row>65</xdr:row>
      <xdr:rowOff>0</xdr:rowOff>
    </xdr:to>
    <xdr:cxnSp macro="">
      <xdr:nvCxnSpPr>
        <xdr:cNvPr id="14" name="直線コネクタ 13">
          <a:extLst>
            <a:ext uri="{FF2B5EF4-FFF2-40B4-BE49-F238E27FC236}">
              <a16:creationId xmlns:a16="http://schemas.microsoft.com/office/drawing/2014/main" id="{015136C1-0AF9-455A-99BD-E07AA402ED6F}"/>
            </a:ext>
          </a:extLst>
        </xdr:cNvPr>
        <xdr:cNvCxnSpPr/>
      </xdr:nvCxnSpPr>
      <xdr:spPr>
        <a:xfrm>
          <a:off x="10712449" y="11510963"/>
          <a:ext cx="1422397" cy="22383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103187</xdr:colOff>
      <xdr:row>119</xdr:row>
      <xdr:rowOff>127003</xdr:rowOff>
    </xdr:from>
    <xdr:to>
      <xdr:col>12</xdr:col>
      <xdr:colOff>150812</xdr:colOff>
      <xdr:row>128</xdr:row>
      <xdr:rowOff>63500</xdr:rowOff>
    </xdr:to>
    <xdr:cxnSp macro="">
      <xdr:nvCxnSpPr>
        <xdr:cNvPr id="24" name="直線コネクタ 23">
          <a:extLst>
            <a:ext uri="{FF2B5EF4-FFF2-40B4-BE49-F238E27FC236}">
              <a16:creationId xmlns:a16="http://schemas.microsoft.com/office/drawing/2014/main" id="{673221B2-E2DC-4521-8578-A239E226B0C9}"/>
            </a:ext>
          </a:extLst>
        </xdr:cNvPr>
        <xdr:cNvCxnSpPr/>
      </xdr:nvCxnSpPr>
      <xdr:spPr>
        <a:xfrm>
          <a:off x="8231187" y="23431503"/>
          <a:ext cx="47625" cy="165099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150812</xdr:colOff>
      <xdr:row>174</xdr:row>
      <xdr:rowOff>119064</xdr:rowOff>
    </xdr:from>
    <xdr:to>
      <xdr:col>11</xdr:col>
      <xdr:colOff>158750</xdr:colOff>
      <xdr:row>182</xdr:row>
      <xdr:rowOff>103187</xdr:rowOff>
    </xdr:to>
    <xdr:cxnSp macro="">
      <xdr:nvCxnSpPr>
        <xdr:cNvPr id="33" name="直線コネクタ 32">
          <a:extLst>
            <a:ext uri="{FF2B5EF4-FFF2-40B4-BE49-F238E27FC236}">
              <a16:creationId xmlns:a16="http://schemas.microsoft.com/office/drawing/2014/main" id="{3FC16029-827B-4017-982B-F8167598FA5B}"/>
            </a:ext>
          </a:extLst>
        </xdr:cNvPr>
        <xdr:cNvCxnSpPr/>
      </xdr:nvCxnSpPr>
      <xdr:spPr>
        <a:xfrm>
          <a:off x="7643812" y="34155064"/>
          <a:ext cx="7938" cy="1508123"/>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309562</xdr:colOff>
      <xdr:row>234</xdr:row>
      <xdr:rowOff>127000</xdr:rowOff>
    </xdr:from>
    <xdr:to>
      <xdr:col>9</xdr:col>
      <xdr:colOff>333375</xdr:colOff>
      <xdr:row>239</xdr:row>
      <xdr:rowOff>103190</xdr:rowOff>
    </xdr:to>
    <xdr:cxnSp macro="">
      <xdr:nvCxnSpPr>
        <xdr:cNvPr id="38" name="直線コネクタ 37">
          <a:extLst>
            <a:ext uri="{FF2B5EF4-FFF2-40B4-BE49-F238E27FC236}">
              <a16:creationId xmlns:a16="http://schemas.microsoft.com/office/drawing/2014/main" id="{ACEBA47E-7626-4B05-848C-5278A0FC603F}"/>
            </a:ext>
          </a:extLst>
        </xdr:cNvPr>
        <xdr:cNvCxnSpPr/>
      </xdr:nvCxnSpPr>
      <xdr:spPr>
        <a:xfrm flipH="1">
          <a:off x="6532562" y="45783500"/>
          <a:ext cx="23813" cy="92869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73025</xdr:colOff>
      <xdr:row>233</xdr:row>
      <xdr:rowOff>158750</xdr:rowOff>
    </xdr:from>
    <xdr:to>
      <xdr:col>12</xdr:col>
      <xdr:colOff>293688</xdr:colOff>
      <xdr:row>241</xdr:row>
      <xdr:rowOff>136527</xdr:rowOff>
    </xdr:to>
    <xdr:cxnSp macro="">
      <xdr:nvCxnSpPr>
        <xdr:cNvPr id="40" name="直線コネクタ 39">
          <a:extLst>
            <a:ext uri="{FF2B5EF4-FFF2-40B4-BE49-F238E27FC236}">
              <a16:creationId xmlns:a16="http://schemas.microsoft.com/office/drawing/2014/main" id="{16151E8C-02D8-497D-975C-1EE43DCBD3C7}"/>
            </a:ext>
          </a:extLst>
        </xdr:cNvPr>
        <xdr:cNvCxnSpPr/>
      </xdr:nvCxnSpPr>
      <xdr:spPr>
        <a:xfrm flipH="1">
          <a:off x="8201025" y="45624750"/>
          <a:ext cx="220663" cy="150177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309562</xdr:colOff>
      <xdr:row>234</xdr:row>
      <xdr:rowOff>31750</xdr:rowOff>
    </xdr:from>
    <xdr:to>
      <xdr:col>12</xdr:col>
      <xdr:colOff>261938</xdr:colOff>
      <xdr:row>234</xdr:row>
      <xdr:rowOff>127000</xdr:rowOff>
    </xdr:to>
    <xdr:cxnSp macro="">
      <xdr:nvCxnSpPr>
        <xdr:cNvPr id="43" name="直線コネクタ 42">
          <a:extLst>
            <a:ext uri="{FF2B5EF4-FFF2-40B4-BE49-F238E27FC236}">
              <a16:creationId xmlns:a16="http://schemas.microsoft.com/office/drawing/2014/main" id="{0A8BEC4A-3AD1-4DF9-8D8D-13BDA0C7E033}"/>
            </a:ext>
          </a:extLst>
        </xdr:cNvPr>
        <xdr:cNvCxnSpPr/>
      </xdr:nvCxnSpPr>
      <xdr:spPr>
        <a:xfrm flipV="1">
          <a:off x="6532562" y="45688250"/>
          <a:ext cx="1857376" cy="9525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96837</xdr:colOff>
      <xdr:row>234</xdr:row>
      <xdr:rowOff>111125</xdr:rowOff>
    </xdr:from>
    <xdr:to>
      <xdr:col>10</xdr:col>
      <xdr:colOff>158750</xdr:colOff>
      <xdr:row>239</xdr:row>
      <xdr:rowOff>160340</xdr:rowOff>
    </xdr:to>
    <xdr:cxnSp macro="">
      <xdr:nvCxnSpPr>
        <xdr:cNvPr id="46" name="直線コネクタ 45">
          <a:extLst>
            <a:ext uri="{FF2B5EF4-FFF2-40B4-BE49-F238E27FC236}">
              <a16:creationId xmlns:a16="http://schemas.microsoft.com/office/drawing/2014/main" id="{2C058BFD-A5B5-4C70-AA67-E01E26E43D0A}"/>
            </a:ext>
          </a:extLst>
        </xdr:cNvPr>
        <xdr:cNvCxnSpPr/>
      </xdr:nvCxnSpPr>
      <xdr:spPr>
        <a:xfrm flipH="1">
          <a:off x="6954837" y="45767625"/>
          <a:ext cx="61913" cy="1001715"/>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622299</xdr:colOff>
      <xdr:row>234</xdr:row>
      <xdr:rowOff>55562</xdr:rowOff>
    </xdr:from>
    <xdr:to>
      <xdr:col>11</xdr:col>
      <xdr:colOff>95250</xdr:colOff>
      <xdr:row>240</xdr:row>
      <xdr:rowOff>26990</xdr:rowOff>
    </xdr:to>
    <xdr:cxnSp macro="">
      <xdr:nvCxnSpPr>
        <xdr:cNvPr id="47" name="直線コネクタ 46">
          <a:extLst>
            <a:ext uri="{FF2B5EF4-FFF2-40B4-BE49-F238E27FC236}">
              <a16:creationId xmlns:a16="http://schemas.microsoft.com/office/drawing/2014/main" id="{36EE91BE-A43B-4604-A6C7-16EA0F55CCA4}"/>
            </a:ext>
          </a:extLst>
        </xdr:cNvPr>
        <xdr:cNvCxnSpPr/>
      </xdr:nvCxnSpPr>
      <xdr:spPr>
        <a:xfrm flipH="1">
          <a:off x="7480299" y="45712062"/>
          <a:ext cx="107951" cy="1114428"/>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619125</xdr:colOff>
      <xdr:row>22</xdr:row>
      <xdr:rowOff>127000</xdr:rowOff>
    </xdr:from>
    <xdr:to>
      <xdr:col>10</xdr:col>
      <xdr:colOff>81430</xdr:colOff>
      <xdr:row>30</xdr:row>
      <xdr:rowOff>53788</xdr:rowOff>
    </xdr:to>
    <xdr:cxnSp macro="">
      <xdr:nvCxnSpPr>
        <xdr:cNvPr id="6" name="直線コネクタ 5">
          <a:extLst>
            <a:ext uri="{FF2B5EF4-FFF2-40B4-BE49-F238E27FC236}">
              <a16:creationId xmlns:a16="http://schemas.microsoft.com/office/drawing/2014/main" id="{95D4EA88-C604-4745-8B58-E719B7FAA875}"/>
            </a:ext>
          </a:extLst>
        </xdr:cNvPr>
        <xdr:cNvCxnSpPr/>
      </xdr:nvCxnSpPr>
      <xdr:spPr>
        <a:xfrm>
          <a:off x="6746875" y="4016375"/>
          <a:ext cx="97305" cy="1228538"/>
        </a:xfrm>
        <a:prstGeom prst="line">
          <a:avLst/>
        </a:prstGeom>
        <a:ln w="635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573740</xdr:colOff>
      <xdr:row>80</xdr:row>
      <xdr:rowOff>120649</xdr:rowOff>
    </xdr:from>
    <xdr:to>
      <xdr:col>8</xdr:col>
      <xdr:colOff>803554</xdr:colOff>
      <xdr:row>82</xdr:row>
      <xdr:rowOff>77226</xdr:rowOff>
    </xdr:to>
    <xdr:sp macro="" textlink="">
      <xdr:nvSpPr>
        <xdr:cNvPr id="19" name="テキスト ボックス 18">
          <a:extLst>
            <a:ext uri="{FF2B5EF4-FFF2-40B4-BE49-F238E27FC236}">
              <a16:creationId xmlns:a16="http://schemas.microsoft.com/office/drawing/2014/main" id="{8C61BED4-AA20-4329-9C4C-35630FCA5543}"/>
            </a:ext>
          </a:extLst>
        </xdr:cNvPr>
        <xdr:cNvSpPr txBox="1"/>
      </xdr:nvSpPr>
      <xdr:spPr>
        <a:xfrm>
          <a:off x="4840940" y="14464178"/>
          <a:ext cx="1099390" cy="297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2025/09/26</a:t>
          </a:r>
          <a:endParaRPr kumimoji="1" lang="ja-JP" altLang="en-US" sz="1100" b="1">
            <a:solidFill>
              <a:srgbClr val="FF0000"/>
            </a:solidFill>
          </a:endParaRPr>
        </a:p>
      </xdr:txBody>
    </xdr:sp>
    <xdr:clientData/>
  </xdr:twoCellAnchor>
  <xdr:twoCellAnchor>
    <xdr:from>
      <xdr:col>10</xdr:col>
      <xdr:colOff>394820</xdr:colOff>
      <xdr:row>67</xdr:row>
      <xdr:rowOff>125505</xdr:rowOff>
    </xdr:from>
    <xdr:to>
      <xdr:col>13</xdr:col>
      <xdr:colOff>321235</xdr:colOff>
      <xdr:row>70</xdr:row>
      <xdr:rowOff>80682</xdr:rowOff>
    </xdr:to>
    <xdr:cxnSp macro="">
      <xdr:nvCxnSpPr>
        <xdr:cNvPr id="20" name="直線コネクタ 19">
          <a:extLst>
            <a:ext uri="{FF2B5EF4-FFF2-40B4-BE49-F238E27FC236}">
              <a16:creationId xmlns:a16="http://schemas.microsoft.com/office/drawing/2014/main" id="{BE351312-5AC4-4245-8CBF-72DB1122D77E}"/>
            </a:ext>
          </a:extLst>
        </xdr:cNvPr>
        <xdr:cNvCxnSpPr/>
      </xdr:nvCxnSpPr>
      <xdr:spPr>
        <a:xfrm>
          <a:off x="7252820" y="13333505"/>
          <a:ext cx="1831415" cy="526677"/>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537135</xdr:colOff>
      <xdr:row>135</xdr:row>
      <xdr:rowOff>75826</xdr:rowOff>
    </xdr:from>
    <xdr:to>
      <xdr:col>14</xdr:col>
      <xdr:colOff>385949</xdr:colOff>
      <xdr:row>137</xdr:row>
      <xdr:rowOff>32403</xdr:rowOff>
    </xdr:to>
    <xdr:sp macro="" textlink="">
      <xdr:nvSpPr>
        <xdr:cNvPr id="31" name="テキスト ボックス 30">
          <a:extLst>
            <a:ext uri="{FF2B5EF4-FFF2-40B4-BE49-F238E27FC236}">
              <a16:creationId xmlns:a16="http://schemas.microsoft.com/office/drawing/2014/main" id="{630558E4-D07F-4774-8270-D9C00C37FDAB}"/>
            </a:ext>
          </a:extLst>
        </xdr:cNvPr>
        <xdr:cNvSpPr txBox="1"/>
      </xdr:nvSpPr>
      <xdr:spPr>
        <a:xfrm>
          <a:off x="8665135" y="26428326"/>
          <a:ext cx="1118814" cy="337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2025/09/26</a:t>
          </a:r>
          <a:endParaRPr kumimoji="1" lang="ja-JP" altLang="en-US" sz="1100" b="1">
            <a:solidFill>
              <a:srgbClr val="FF0000"/>
            </a:solidFill>
          </a:endParaRPr>
        </a:p>
      </xdr:txBody>
    </xdr:sp>
    <xdr:clientData/>
  </xdr:twoCellAnchor>
  <xdr:twoCellAnchor>
    <xdr:from>
      <xdr:col>10</xdr:col>
      <xdr:colOff>312644</xdr:colOff>
      <xdr:row>121</xdr:row>
      <xdr:rowOff>125506</xdr:rowOff>
    </xdr:from>
    <xdr:to>
      <xdr:col>13</xdr:col>
      <xdr:colOff>61259</xdr:colOff>
      <xdr:row>122</xdr:row>
      <xdr:rowOff>44824</xdr:rowOff>
    </xdr:to>
    <xdr:cxnSp macro="">
      <xdr:nvCxnSpPr>
        <xdr:cNvPr id="34" name="直線コネクタ 33">
          <a:extLst>
            <a:ext uri="{FF2B5EF4-FFF2-40B4-BE49-F238E27FC236}">
              <a16:creationId xmlns:a16="http://schemas.microsoft.com/office/drawing/2014/main" id="{0D6BD82C-DE15-4F63-9C74-A8CABA4F8525}"/>
            </a:ext>
          </a:extLst>
        </xdr:cNvPr>
        <xdr:cNvCxnSpPr/>
      </xdr:nvCxnSpPr>
      <xdr:spPr>
        <a:xfrm flipV="1">
          <a:off x="7170644" y="23811006"/>
          <a:ext cx="1653615" cy="10981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0</xdr:colOff>
      <xdr:row>32</xdr:row>
      <xdr:rowOff>0</xdr:rowOff>
    </xdr:from>
    <xdr:to>
      <xdr:col>12</xdr:col>
      <xdr:colOff>490785</xdr:colOff>
      <xdr:row>33</xdr:row>
      <xdr:rowOff>125911</xdr:rowOff>
    </xdr:to>
    <xdr:sp macro="" textlink="">
      <xdr:nvSpPr>
        <xdr:cNvPr id="3" name="テキスト ボックス 2">
          <a:extLst>
            <a:ext uri="{FF2B5EF4-FFF2-40B4-BE49-F238E27FC236}">
              <a16:creationId xmlns:a16="http://schemas.microsoft.com/office/drawing/2014/main" id="{BB784E7A-0910-4C30-BD72-471682F74AC9}"/>
            </a:ext>
          </a:extLst>
        </xdr:cNvPr>
        <xdr:cNvSpPr txBox="1"/>
      </xdr:nvSpPr>
      <xdr:spPr>
        <a:xfrm>
          <a:off x="7255933" y="5782733"/>
          <a:ext cx="1108852" cy="295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2026/07/</a:t>
          </a:r>
          <a:endParaRPr kumimoji="1" lang="ja-JP" altLang="en-US" sz="1100" b="1">
            <a:solidFill>
              <a:srgbClr val="FF0000"/>
            </a:solidFill>
          </a:endParaRPr>
        </a:p>
      </xdr:txBody>
    </xdr:sp>
    <xdr:clientData/>
  </xdr:twoCellAnchor>
  <xdr:twoCellAnchor>
    <xdr:from>
      <xdr:col>11</xdr:col>
      <xdr:colOff>0</xdr:colOff>
      <xdr:row>77</xdr:row>
      <xdr:rowOff>0</xdr:rowOff>
    </xdr:from>
    <xdr:to>
      <xdr:col>12</xdr:col>
      <xdr:colOff>490785</xdr:colOff>
      <xdr:row>78</xdr:row>
      <xdr:rowOff>125912</xdr:rowOff>
    </xdr:to>
    <xdr:sp macro="" textlink="">
      <xdr:nvSpPr>
        <xdr:cNvPr id="4" name="テキスト ボックス 3">
          <a:extLst>
            <a:ext uri="{FF2B5EF4-FFF2-40B4-BE49-F238E27FC236}">
              <a16:creationId xmlns:a16="http://schemas.microsoft.com/office/drawing/2014/main" id="{4AB2DA93-7824-4C5A-AFE2-A75CB55B03C3}"/>
            </a:ext>
          </a:extLst>
        </xdr:cNvPr>
        <xdr:cNvSpPr txBox="1"/>
      </xdr:nvSpPr>
      <xdr:spPr>
        <a:xfrm>
          <a:off x="7255933" y="13741400"/>
          <a:ext cx="1108852" cy="2952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2026/02/</a:t>
          </a:r>
          <a:endParaRPr kumimoji="1" lang="ja-JP" altLang="en-US" sz="1100" b="1">
            <a:solidFill>
              <a:srgbClr val="FF0000"/>
            </a:solidFill>
          </a:endParaRPr>
        </a:p>
      </xdr:txBody>
    </xdr:sp>
    <xdr:clientData/>
  </xdr:twoCellAnchor>
  <xdr:twoCellAnchor>
    <xdr:from>
      <xdr:col>6</xdr:col>
      <xdr:colOff>210422</xdr:colOff>
      <xdr:row>26</xdr:row>
      <xdr:rowOff>58394</xdr:rowOff>
    </xdr:from>
    <xdr:to>
      <xdr:col>7</xdr:col>
      <xdr:colOff>723621</xdr:colOff>
      <xdr:row>28</xdr:row>
      <xdr:rowOff>14972</xdr:rowOff>
    </xdr:to>
    <xdr:sp macro="" textlink="">
      <xdr:nvSpPr>
        <xdr:cNvPr id="5" name="テキスト ボックス 4">
          <a:extLst>
            <a:ext uri="{FF2B5EF4-FFF2-40B4-BE49-F238E27FC236}">
              <a16:creationId xmlns:a16="http://schemas.microsoft.com/office/drawing/2014/main" id="{7E8EEEB8-5C35-4D32-B88D-B4CDD786E998}"/>
            </a:ext>
          </a:extLst>
        </xdr:cNvPr>
        <xdr:cNvSpPr txBox="1"/>
      </xdr:nvSpPr>
      <xdr:spPr>
        <a:xfrm>
          <a:off x="3953187" y="4690159"/>
          <a:ext cx="1118316" cy="28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rgbClr val="FF0000"/>
              </a:solidFill>
            </a:rPr>
            <a:t>2026/07/</a:t>
          </a:r>
          <a:endParaRPr kumimoji="1" lang="ja-JP" altLang="en-US" sz="1100" b="1">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61</xdr:col>
      <xdr:colOff>141800</xdr:colOff>
      <xdr:row>16</xdr:row>
      <xdr:rowOff>121869</xdr:rowOff>
    </xdr:from>
    <xdr:to>
      <xdr:col>63</xdr:col>
      <xdr:colOff>58210</xdr:colOff>
      <xdr:row>18</xdr:row>
      <xdr:rowOff>96309</xdr:rowOff>
    </xdr:to>
    <xdr:sp macro="" textlink="">
      <xdr:nvSpPr>
        <xdr:cNvPr id="3" name="テキスト ボックス 2">
          <a:extLst>
            <a:ext uri="{FF2B5EF4-FFF2-40B4-BE49-F238E27FC236}">
              <a16:creationId xmlns:a16="http://schemas.microsoft.com/office/drawing/2014/main" id="{FFDD0A53-4580-4E38-BD26-0E63122AE052}"/>
            </a:ext>
          </a:extLst>
        </xdr:cNvPr>
        <xdr:cNvSpPr txBox="1"/>
      </xdr:nvSpPr>
      <xdr:spPr>
        <a:xfrm>
          <a:off x="9438200" y="2831202"/>
          <a:ext cx="678410" cy="313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リビング</a:t>
          </a:r>
          <a:endParaRPr kumimoji="1" lang="en-US" altLang="ja-JP" sz="1100" b="1"/>
        </a:p>
        <a:p>
          <a:endParaRPr kumimoji="1" lang="ja-JP" altLang="en-US" sz="1400" b="1"/>
        </a:p>
      </xdr:txBody>
    </xdr:sp>
    <xdr:clientData/>
  </xdr:twoCellAnchor>
  <xdr:twoCellAnchor>
    <xdr:from>
      <xdr:col>64</xdr:col>
      <xdr:colOff>572345</xdr:colOff>
      <xdr:row>13</xdr:row>
      <xdr:rowOff>135304</xdr:rowOff>
    </xdr:from>
    <xdr:to>
      <xdr:col>65</xdr:col>
      <xdr:colOff>330200</xdr:colOff>
      <xdr:row>15</xdr:row>
      <xdr:rowOff>84667</xdr:rowOff>
    </xdr:to>
    <xdr:sp macro="" textlink="">
      <xdr:nvSpPr>
        <xdr:cNvPr id="5" name="テキスト ボックス 4">
          <a:extLst>
            <a:ext uri="{FF2B5EF4-FFF2-40B4-BE49-F238E27FC236}">
              <a16:creationId xmlns:a16="http://schemas.microsoft.com/office/drawing/2014/main" id="{F5150E6A-EA9F-4417-8006-DDDF773023DE}"/>
            </a:ext>
          </a:extLst>
        </xdr:cNvPr>
        <xdr:cNvSpPr txBox="1"/>
      </xdr:nvSpPr>
      <xdr:spPr>
        <a:xfrm>
          <a:off x="11240345" y="2336637"/>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①</a:t>
          </a:r>
        </a:p>
      </xdr:txBody>
    </xdr:sp>
    <xdr:clientData/>
  </xdr:twoCellAnchor>
  <xdr:twoCellAnchor>
    <xdr:from>
      <xdr:col>62</xdr:col>
      <xdr:colOff>276689</xdr:colOff>
      <xdr:row>33</xdr:row>
      <xdr:rowOff>2281</xdr:rowOff>
    </xdr:from>
    <xdr:to>
      <xdr:col>62</xdr:col>
      <xdr:colOff>278342</xdr:colOff>
      <xdr:row>36</xdr:row>
      <xdr:rowOff>117475</xdr:rowOff>
    </xdr:to>
    <xdr:cxnSp macro="">
      <xdr:nvCxnSpPr>
        <xdr:cNvPr id="6" name="直線コネクタ 5">
          <a:extLst>
            <a:ext uri="{FF2B5EF4-FFF2-40B4-BE49-F238E27FC236}">
              <a16:creationId xmlns:a16="http://schemas.microsoft.com/office/drawing/2014/main" id="{712C05D1-6887-4016-85A9-222211832EE9}"/>
            </a:ext>
          </a:extLst>
        </xdr:cNvPr>
        <xdr:cNvCxnSpPr/>
      </xdr:nvCxnSpPr>
      <xdr:spPr>
        <a:xfrm>
          <a:off x="9725489" y="5590281"/>
          <a:ext cx="1653" cy="64012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184746</xdr:colOff>
      <xdr:row>30</xdr:row>
      <xdr:rowOff>90587</xdr:rowOff>
    </xdr:from>
    <xdr:to>
      <xdr:col>64</xdr:col>
      <xdr:colOff>220133</xdr:colOff>
      <xdr:row>30</xdr:row>
      <xdr:rowOff>93133</xdr:rowOff>
    </xdr:to>
    <xdr:cxnSp macro="">
      <xdr:nvCxnSpPr>
        <xdr:cNvPr id="7" name="直線コネクタ 6">
          <a:extLst>
            <a:ext uri="{FF2B5EF4-FFF2-40B4-BE49-F238E27FC236}">
              <a16:creationId xmlns:a16="http://schemas.microsoft.com/office/drawing/2014/main" id="{AFA9EFA7-7627-4F71-8DCE-BE8CA1C0497E}"/>
            </a:ext>
          </a:extLst>
        </xdr:cNvPr>
        <xdr:cNvCxnSpPr/>
      </xdr:nvCxnSpPr>
      <xdr:spPr>
        <a:xfrm>
          <a:off x="9633546" y="5170587"/>
          <a:ext cx="1254587" cy="2546"/>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220891</xdr:colOff>
      <xdr:row>31</xdr:row>
      <xdr:rowOff>110097</xdr:rowOff>
    </xdr:from>
    <xdr:to>
      <xdr:col>64</xdr:col>
      <xdr:colOff>154887</xdr:colOff>
      <xdr:row>31</xdr:row>
      <xdr:rowOff>110140</xdr:rowOff>
    </xdr:to>
    <xdr:cxnSp macro="">
      <xdr:nvCxnSpPr>
        <xdr:cNvPr id="8" name="直線コネクタ 7">
          <a:extLst>
            <a:ext uri="{FF2B5EF4-FFF2-40B4-BE49-F238E27FC236}">
              <a16:creationId xmlns:a16="http://schemas.microsoft.com/office/drawing/2014/main" id="{A10667EB-89CE-4C22-A3AD-586DC8CC3500}"/>
            </a:ext>
          </a:extLst>
        </xdr:cNvPr>
        <xdr:cNvCxnSpPr/>
      </xdr:nvCxnSpPr>
      <xdr:spPr>
        <a:xfrm>
          <a:off x="9669691" y="5359430"/>
          <a:ext cx="1153196" cy="4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192074</xdr:colOff>
      <xdr:row>29</xdr:row>
      <xdr:rowOff>87846</xdr:rowOff>
    </xdr:from>
    <xdr:to>
      <xdr:col>64</xdr:col>
      <xdr:colOff>205681</xdr:colOff>
      <xdr:row>29</xdr:row>
      <xdr:rowOff>87846</xdr:rowOff>
    </xdr:to>
    <xdr:cxnSp macro="">
      <xdr:nvCxnSpPr>
        <xdr:cNvPr id="9" name="直線コネクタ 8">
          <a:extLst>
            <a:ext uri="{FF2B5EF4-FFF2-40B4-BE49-F238E27FC236}">
              <a16:creationId xmlns:a16="http://schemas.microsoft.com/office/drawing/2014/main" id="{7C7AC6C2-CC93-466B-B7D2-95E88B6B2706}"/>
            </a:ext>
          </a:extLst>
        </xdr:cNvPr>
        <xdr:cNvCxnSpPr/>
      </xdr:nvCxnSpPr>
      <xdr:spPr>
        <a:xfrm>
          <a:off x="9640874" y="4998513"/>
          <a:ext cx="1232807"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184454</xdr:colOff>
      <xdr:row>27</xdr:row>
      <xdr:rowOff>79526</xdr:rowOff>
    </xdr:from>
    <xdr:to>
      <xdr:col>64</xdr:col>
      <xdr:colOff>198060</xdr:colOff>
      <xdr:row>27</xdr:row>
      <xdr:rowOff>79526</xdr:rowOff>
    </xdr:to>
    <xdr:cxnSp macro="">
      <xdr:nvCxnSpPr>
        <xdr:cNvPr id="10" name="直線コネクタ 9">
          <a:extLst>
            <a:ext uri="{FF2B5EF4-FFF2-40B4-BE49-F238E27FC236}">
              <a16:creationId xmlns:a16="http://schemas.microsoft.com/office/drawing/2014/main" id="{AAC9515A-602C-416F-BACD-11B5DD10EE9A}"/>
            </a:ext>
          </a:extLst>
        </xdr:cNvPr>
        <xdr:cNvCxnSpPr/>
      </xdr:nvCxnSpPr>
      <xdr:spPr>
        <a:xfrm>
          <a:off x="9633254" y="4651526"/>
          <a:ext cx="1232806"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192920</xdr:colOff>
      <xdr:row>28</xdr:row>
      <xdr:rowOff>88899</xdr:rowOff>
    </xdr:from>
    <xdr:to>
      <xdr:col>64</xdr:col>
      <xdr:colOff>206526</xdr:colOff>
      <xdr:row>28</xdr:row>
      <xdr:rowOff>88899</xdr:rowOff>
    </xdr:to>
    <xdr:cxnSp macro="">
      <xdr:nvCxnSpPr>
        <xdr:cNvPr id="11" name="直線コネクタ 10">
          <a:extLst>
            <a:ext uri="{FF2B5EF4-FFF2-40B4-BE49-F238E27FC236}">
              <a16:creationId xmlns:a16="http://schemas.microsoft.com/office/drawing/2014/main" id="{3485F59B-BE25-4B3A-9EB2-CDE74B5475D4}"/>
            </a:ext>
          </a:extLst>
        </xdr:cNvPr>
        <xdr:cNvCxnSpPr/>
      </xdr:nvCxnSpPr>
      <xdr:spPr>
        <a:xfrm>
          <a:off x="9641720" y="4830232"/>
          <a:ext cx="1232806"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276225</xdr:colOff>
      <xdr:row>23</xdr:row>
      <xdr:rowOff>38527</xdr:rowOff>
    </xdr:from>
    <xdr:to>
      <xdr:col>63</xdr:col>
      <xdr:colOff>375644</xdr:colOff>
      <xdr:row>23</xdr:row>
      <xdr:rowOff>130674</xdr:rowOff>
    </xdr:to>
    <xdr:sp macro="" textlink="">
      <xdr:nvSpPr>
        <xdr:cNvPr id="13" name="円/楕円 16">
          <a:extLst>
            <a:ext uri="{FF2B5EF4-FFF2-40B4-BE49-F238E27FC236}">
              <a16:creationId xmlns:a16="http://schemas.microsoft.com/office/drawing/2014/main" id="{466ED5D7-0677-4AFC-93A9-C8ADA040C1AD}"/>
            </a:ext>
          </a:extLst>
        </xdr:cNvPr>
        <xdr:cNvSpPr/>
      </xdr:nvSpPr>
      <xdr:spPr>
        <a:xfrm>
          <a:off x="10334625" y="3933194"/>
          <a:ext cx="99419" cy="92147"/>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46834</xdr:colOff>
      <xdr:row>1</xdr:row>
      <xdr:rowOff>150282</xdr:rowOff>
    </xdr:from>
    <xdr:to>
      <xdr:col>64</xdr:col>
      <xdr:colOff>124886</xdr:colOff>
      <xdr:row>3</xdr:row>
      <xdr:rowOff>155575</xdr:rowOff>
    </xdr:to>
    <xdr:grpSp>
      <xdr:nvGrpSpPr>
        <xdr:cNvPr id="15" name="グループ化 14">
          <a:extLst>
            <a:ext uri="{FF2B5EF4-FFF2-40B4-BE49-F238E27FC236}">
              <a16:creationId xmlns:a16="http://schemas.microsoft.com/office/drawing/2014/main" id="{86D39DBB-5D01-48E5-BA91-49073BD1C1E6}"/>
            </a:ext>
          </a:extLst>
        </xdr:cNvPr>
        <xdr:cNvGrpSpPr/>
      </xdr:nvGrpSpPr>
      <xdr:grpSpPr>
        <a:xfrm rot="16200000" flipV="1">
          <a:off x="10505151" y="447278"/>
          <a:ext cx="338668" cy="78052"/>
          <a:chOff x="6858000" y="4124324"/>
          <a:chExt cx="762000" cy="132159"/>
        </a:xfrm>
      </xdr:grpSpPr>
      <xdr:sp macro="" textlink="">
        <xdr:nvSpPr>
          <xdr:cNvPr id="16" name="正方形/長方形 15">
            <a:extLst>
              <a:ext uri="{FF2B5EF4-FFF2-40B4-BE49-F238E27FC236}">
                <a16:creationId xmlns:a16="http://schemas.microsoft.com/office/drawing/2014/main" id="{379C050F-E065-68C5-E592-4BF3BD905746}"/>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17" name="直線 2166">
            <a:extLst>
              <a:ext uri="{FF2B5EF4-FFF2-40B4-BE49-F238E27FC236}">
                <a16:creationId xmlns:a16="http://schemas.microsoft.com/office/drawing/2014/main" id="{B56F47D9-B2FE-6E93-22EA-50D4DB88092C}"/>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 name="直線 2167">
            <a:extLst>
              <a:ext uri="{FF2B5EF4-FFF2-40B4-BE49-F238E27FC236}">
                <a16:creationId xmlns:a16="http://schemas.microsoft.com/office/drawing/2014/main" id="{4599908F-D89F-B8F1-C4FB-B65FFE847C8C}"/>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9" name="直線 2167">
            <a:extLst>
              <a:ext uri="{FF2B5EF4-FFF2-40B4-BE49-F238E27FC236}">
                <a16:creationId xmlns:a16="http://schemas.microsoft.com/office/drawing/2014/main" id="{56D2BF79-7716-2A27-FDE8-4107AEAC2025}"/>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62</xdr:col>
      <xdr:colOff>38563</xdr:colOff>
      <xdr:row>12</xdr:row>
      <xdr:rowOff>129280</xdr:rowOff>
    </xdr:from>
    <xdr:to>
      <xdr:col>63</xdr:col>
      <xdr:colOff>33867</xdr:colOff>
      <xdr:row>14</xdr:row>
      <xdr:rowOff>84666</xdr:rowOff>
    </xdr:to>
    <xdr:sp macro="" textlink="">
      <xdr:nvSpPr>
        <xdr:cNvPr id="20" name="テキスト ボックス 19">
          <a:extLst>
            <a:ext uri="{FF2B5EF4-FFF2-40B4-BE49-F238E27FC236}">
              <a16:creationId xmlns:a16="http://schemas.microsoft.com/office/drawing/2014/main" id="{7E8085F0-C974-4FBE-8D05-F5CEAD9FA4D1}"/>
            </a:ext>
          </a:extLst>
        </xdr:cNvPr>
        <xdr:cNvSpPr txBox="1"/>
      </xdr:nvSpPr>
      <xdr:spPr>
        <a:xfrm>
          <a:off x="9487363" y="2161280"/>
          <a:ext cx="604904" cy="294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浴室</a:t>
          </a:r>
          <a:endParaRPr kumimoji="1" lang="en-US" altLang="ja-JP" sz="1200" b="1"/>
        </a:p>
        <a:p>
          <a:endParaRPr kumimoji="1" lang="en-US" altLang="ja-JP" sz="1400" b="1"/>
        </a:p>
        <a:p>
          <a:endParaRPr kumimoji="1" lang="ja-JP" altLang="en-US" sz="1400" b="1"/>
        </a:p>
      </xdr:txBody>
    </xdr:sp>
    <xdr:clientData/>
  </xdr:twoCellAnchor>
  <xdr:twoCellAnchor>
    <xdr:from>
      <xdr:col>62</xdr:col>
      <xdr:colOff>85162</xdr:colOff>
      <xdr:row>18</xdr:row>
      <xdr:rowOff>125184</xdr:rowOff>
    </xdr:from>
    <xdr:to>
      <xdr:col>63</xdr:col>
      <xdr:colOff>207794</xdr:colOff>
      <xdr:row>20</xdr:row>
      <xdr:rowOff>125185</xdr:rowOff>
    </xdr:to>
    <xdr:sp macro="" textlink="">
      <xdr:nvSpPr>
        <xdr:cNvPr id="21" name="テキスト ボックス 20">
          <a:extLst>
            <a:ext uri="{FF2B5EF4-FFF2-40B4-BE49-F238E27FC236}">
              <a16:creationId xmlns:a16="http://schemas.microsoft.com/office/drawing/2014/main" id="{CFD8B321-26D4-4CC1-9780-A5498137DCBD}"/>
            </a:ext>
          </a:extLst>
        </xdr:cNvPr>
        <xdr:cNvSpPr txBox="1"/>
      </xdr:nvSpPr>
      <xdr:spPr>
        <a:xfrm>
          <a:off x="9533962" y="3173184"/>
          <a:ext cx="732232" cy="338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和室</a:t>
          </a:r>
          <a:endParaRPr kumimoji="1" lang="en-US" altLang="ja-JP" sz="1100" b="1"/>
        </a:p>
        <a:p>
          <a:endParaRPr kumimoji="1" lang="en-US" altLang="ja-JP" sz="1200" b="1"/>
        </a:p>
        <a:p>
          <a:endParaRPr kumimoji="1" lang="ja-JP" altLang="en-US" sz="1200" b="1"/>
        </a:p>
      </xdr:txBody>
    </xdr:sp>
    <xdr:clientData/>
  </xdr:twoCellAnchor>
  <xdr:twoCellAnchor>
    <xdr:from>
      <xdr:col>62</xdr:col>
      <xdr:colOff>273148</xdr:colOff>
      <xdr:row>38</xdr:row>
      <xdr:rowOff>175121</xdr:rowOff>
    </xdr:from>
    <xdr:to>
      <xdr:col>64</xdr:col>
      <xdr:colOff>64788</xdr:colOff>
      <xdr:row>40</xdr:row>
      <xdr:rowOff>162421</xdr:rowOff>
    </xdr:to>
    <xdr:sp macro="" textlink="">
      <xdr:nvSpPr>
        <xdr:cNvPr id="23" name="テキスト ボックス 22">
          <a:extLst>
            <a:ext uri="{FF2B5EF4-FFF2-40B4-BE49-F238E27FC236}">
              <a16:creationId xmlns:a16="http://schemas.microsoft.com/office/drawing/2014/main" id="{97C2B07A-DE31-41ED-9D37-85E55C83B7AF}"/>
            </a:ext>
          </a:extLst>
        </xdr:cNvPr>
        <xdr:cNvSpPr txBox="1"/>
      </xdr:nvSpPr>
      <xdr:spPr>
        <a:xfrm>
          <a:off x="9721948" y="6487021"/>
          <a:ext cx="101084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駐車場</a:t>
          </a:r>
          <a:endParaRPr kumimoji="1" lang="en-US" altLang="ja-JP" sz="1400" b="1"/>
        </a:p>
        <a:p>
          <a:endParaRPr kumimoji="1" lang="en-US" altLang="ja-JP" sz="1400" b="1"/>
        </a:p>
        <a:p>
          <a:endParaRPr kumimoji="1" lang="ja-JP" altLang="en-US" sz="1400" b="1"/>
        </a:p>
      </xdr:txBody>
    </xdr:sp>
    <xdr:clientData/>
  </xdr:twoCellAnchor>
  <xdr:twoCellAnchor>
    <xdr:from>
      <xdr:col>62</xdr:col>
      <xdr:colOff>52597</xdr:colOff>
      <xdr:row>8</xdr:row>
      <xdr:rowOff>119664</xdr:rowOff>
    </xdr:from>
    <xdr:to>
      <xdr:col>63</xdr:col>
      <xdr:colOff>15275</xdr:colOff>
      <xdr:row>10</xdr:row>
      <xdr:rowOff>42334</xdr:rowOff>
    </xdr:to>
    <xdr:sp macro="" textlink="">
      <xdr:nvSpPr>
        <xdr:cNvPr id="24" name="テキスト ボックス 23">
          <a:extLst>
            <a:ext uri="{FF2B5EF4-FFF2-40B4-BE49-F238E27FC236}">
              <a16:creationId xmlns:a16="http://schemas.microsoft.com/office/drawing/2014/main" id="{C06DD4CB-2740-4F7E-B8D6-B5B75F68A6A7}"/>
            </a:ext>
          </a:extLst>
        </xdr:cNvPr>
        <xdr:cNvSpPr txBox="1"/>
      </xdr:nvSpPr>
      <xdr:spPr>
        <a:xfrm>
          <a:off x="9501397" y="1474331"/>
          <a:ext cx="572278" cy="26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トイレ</a:t>
          </a:r>
          <a:endParaRPr kumimoji="1" lang="en-US" altLang="ja-JP" sz="1100" b="1"/>
        </a:p>
        <a:p>
          <a:endParaRPr kumimoji="1" lang="en-US" altLang="ja-JP" sz="1100" b="1"/>
        </a:p>
        <a:p>
          <a:endParaRPr kumimoji="1" lang="ja-JP" altLang="en-US" sz="1100" b="1"/>
        </a:p>
      </xdr:txBody>
    </xdr:sp>
    <xdr:clientData/>
  </xdr:twoCellAnchor>
  <xdr:twoCellAnchor>
    <xdr:from>
      <xdr:col>62</xdr:col>
      <xdr:colOff>238224</xdr:colOff>
      <xdr:row>42</xdr:row>
      <xdr:rowOff>40679</xdr:rowOff>
    </xdr:from>
    <xdr:to>
      <xdr:col>64</xdr:col>
      <xdr:colOff>67667</xdr:colOff>
      <xdr:row>44</xdr:row>
      <xdr:rowOff>40680</xdr:rowOff>
    </xdr:to>
    <xdr:sp macro="" textlink="">
      <xdr:nvSpPr>
        <xdr:cNvPr id="25" name="テキスト ボックス 24">
          <a:extLst>
            <a:ext uri="{FF2B5EF4-FFF2-40B4-BE49-F238E27FC236}">
              <a16:creationId xmlns:a16="http://schemas.microsoft.com/office/drawing/2014/main" id="{CF49E655-D754-47E6-A9EE-52F53BB3D999}"/>
            </a:ext>
          </a:extLst>
        </xdr:cNvPr>
        <xdr:cNvSpPr txBox="1"/>
      </xdr:nvSpPr>
      <xdr:spPr>
        <a:xfrm>
          <a:off x="9687024" y="7025679"/>
          <a:ext cx="1048643" cy="330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b="1"/>
            <a:t>未調査</a:t>
          </a:r>
          <a:endParaRPr kumimoji="1" lang="en-US" altLang="ja-JP" sz="1400" b="1"/>
        </a:p>
        <a:p>
          <a:endParaRPr kumimoji="1" lang="en-US" altLang="ja-JP" sz="1400" b="1"/>
        </a:p>
        <a:p>
          <a:endParaRPr kumimoji="1" lang="ja-JP" altLang="en-US" sz="1400" b="1"/>
        </a:p>
      </xdr:txBody>
    </xdr:sp>
    <xdr:clientData/>
  </xdr:twoCellAnchor>
  <xdr:twoCellAnchor>
    <xdr:from>
      <xdr:col>66</xdr:col>
      <xdr:colOff>15478</xdr:colOff>
      <xdr:row>12</xdr:row>
      <xdr:rowOff>39818</xdr:rowOff>
    </xdr:from>
    <xdr:to>
      <xdr:col>67</xdr:col>
      <xdr:colOff>2769</xdr:colOff>
      <xdr:row>12</xdr:row>
      <xdr:rowOff>135467</xdr:rowOff>
    </xdr:to>
    <xdr:grpSp>
      <xdr:nvGrpSpPr>
        <xdr:cNvPr id="31" name="グループ化 30">
          <a:extLst>
            <a:ext uri="{FF2B5EF4-FFF2-40B4-BE49-F238E27FC236}">
              <a16:creationId xmlns:a16="http://schemas.microsoft.com/office/drawing/2014/main" id="{ADBC64BA-210D-4E2B-AEB4-4BF4B40ECDA4}"/>
            </a:ext>
          </a:extLst>
        </xdr:cNvPr>
        <xdr:cNvGrpSpPr/>
      </xdr:nvGrpSpPr>
      <xdr:grpSpPr>
        <a:xfrm rot="10800000" flipV="1">
          <a:off x="11842353" y="2040068"/>
          <a:ext cx="606416" cy="95649"/>
          <a:chOff x="6858000" y="4124324"/>
          <a:chExt cx="762000" cy="132159"/>
        </a:xfrm>
      </xdr:grpSpPr>
      <xdr:sp macro="" textlink="">
        <xdr:nvSpPr>
          <xdr:cNvPr id="32" name="正方形/長方形 31">
            <a:extLst>
              <a:ext uri="{FF2B5EF4-FFF2-40B4-BE49-F238E27FC236}">
                <a16:creationId xmlns:a16="http://schemas.microsoft.com/office/drawing/2014/main" id="{66D9CE27-D85B-AF56-2B13-7C9CD3021597}"/>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33" name="直線 2166">
            <a:extLst>
              <a:ext uri="{FF2B5EF4-FFF2-40B4-BE49-F238E27FC236}">
                <a16:creationId xmlns:a16="http://schemas.microsoft.com/office/drawing/2014/main" id="{DFFE345C-0DB9-C991-8AE4-EF208D62ABB2}"/>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4" name="直線 2167">
            <a:extLst>
              <a:ext uri="{FF2B5EF4-FFF2-40B4-BE49-F238E27FC236}">
                <a16:creationId xmlns:a16="http://schemas.microsoft.com/office/drawing/2014/main" id="{2892A44B-E862-54B0-615C-30162CEF61B9}"/>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5" name="直線 2167">
            <a:extLst>
              <a:ext uri="{FF2B5EF4-FFF2-40B4-BE49-F238E27FC236}">
                <a16:creationId xmlns:a16="http://schemas.microsoft.com/office/drawing/2014/main" id="{E6F063F8-ED35-B18E-44BD-3BA368BE0444}"/>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67</xdr:col>
      <xdr:colOff>434448</xdr:colOff>
      <xdr:row>15</xdr:row>
      <xdr:rowOff>43886</xdr:rowOff>
    </xdr:from>
    <xdr:to>
      <xdr:col>68</xdr:col>
      <xdr:colOff>233959</xdr:colOff>
      <xdr:row>15</xdr:row>
      <xdr:rowOff>116597</xdr:rowOff>
    </xdr:to>
    <xdr:sp macro="" textlink="">
      <xdr:nvSpPr>
        <xdr:cNvPr id="37" name="正方形/長方形 36">
          <a:extLst>
            <a:ext uri="{FF2B5EF4-FFF2-40B4-BE49-F238E27FC236}">
              <a16:creationId xmlns:a16="http://schemas.microsoft.com/office/drawing/2014/main" id="{FB6F5302-EB00-6D7B-6FA6-0CA1DC9B1CD6}"/>
            </a:ext>
          </a:extLst>
        </xdr:cNvPr>
        <xdr:cNvSpPr/>
      </xdr:nvSpPr>
      <xdr:spPr bwMode="auto">
        <a:xfrm rot="10800000" flipV="1">
          <a:off x="12931248" y="2558486"/>
          <a:ext cx="409111" cy="72711"/>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66</xdr:col>
      <xdr:colOff>98978</xdr:colOff>
      <xdr:row>10</xdr:row>
      <xdr:rowOff>51050</xdr:rowOff>
    </xdr:from>
    <xdr:to>
      <xdr:col>66</xdr:col>
      <xdr:colOff>504893</xdr:colOff>
      <xdr:row>10</xdr:row>
      <xdr:rowOff>123050</xdr:rowOff>
    </xdr:to>
    <xdr:grpSp>
      <xdr:nvGrpSpPr>
        <xdr:cNvPr id="51" name="グループ化 50">
          <a:extLst>
            <a:ext uri="{FF2B5EF4-FFF2-40B4-BE49-F238E27FC236}">
              <a16:creationId xmlns:a16="http://schemas.microsoft.com/office/drawing/2014/main" id="{B179105B-5716-DEC8-3B69-C256F8E5A3F4}"/>
            </a:ext>
          </a:extLst>
        </xdr:cNvPr>
        <xdr:cNvGrpSpPr/>
      </xdr:nvGrpSpPr>
      <xdr:grpSpPr>
        <a:xfrm>
          <a:off x="11925853" y="1717925"/>
          <a:ext cx="405915" cy="72000"/>
          <a:chOff x="12032946" y="1744383"/>
          <a:chExt cx="405915" cy="72000"/>
        </a:xfrm>
      </xdr:grpSpPr>
      <xdr:sp macro="" textlink="">
        <xdr:nvSpPr>
          <xdr:cNvPr id="38" name="直線 2166">
            <a:extLst>
              <a:ext uri="{FF2B5EF4-FFF2-40B4-BE49-F238E27FC236}">
                <a16:creationId xmlns:a16="http://schemas.microsoft.com/office/drawing/2014/main" id="{628DB14F-CA66-22F0-44AC-D11719D42C7E}"/>
              </a:ext>
            </a:extLst>
          </xdr:cNvPr>
          <xdr:cNvSpPr>
            <a:spLocks noChangeShapeType="1"/>
          </xdr:cNvSpPr>
        </xdr:nvSpPr>
        <xdr:spPr bwMode="auto">
          <a:xfrm rot="10800000" flipV="1">
            <a:off x="12233099" y="1744383"/>
            <a:ext cx="0" cy="7200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9" name="直線 2167">
            <a:extLst>
              <a:ext uri="{FF2B5EF4-FFF2-40B4-BE49-F238E27FC236}">
                <a16:creationId xmlns:a16="http://schemas.microsoft.com/office/drawing/2014/main" id="{6579FE86-0EFF-9C9C-BF8D-5ED2304FDC38}"/>
              </a:ext>
            </a:extLst>
          </xdr:cNvPr>
          <xdr:cNvSpPr>
            <a:spLocks noChangeShapeType="1"/>
          </xdr:cNvSpPr>
        </xdr:nvSpPr>
        <xdr:spPr bwMode="auto">
          <a:xfrm rot="10800000" flipH="1" flipV="1">
            <a:off x="12205540" y="1776438"/>
            <a:ext cx="233321"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0" name="直線 2167">
            <a:extLst>
              <a:ext uri="{FF2B5EF4-FFF2-40B4-BE49-F238E27FC236}">
                <a16:creationId xmlns:a16="http://schemas.microsoft.com/office/drawing/2014/main" id="{84BA672D-2139-6AC1-F5AC-BC445CF80A35}"/>
              </a:ext>
            </a:extLst>
          </xdr:cNvPr>
          <xdr:cNvSpPr>
            <a:spLocks noChangeShapeType="1"/>
          </xdr:cNvSpPr>
        </xdr:nvSpPr>
        <xdr:spPr bwMode="auto">
          <a:xfrm rot="10800000" flipH="1" flipV="1">
            <a:off x="12032946" y="1791901"/>
            <a:ext cx="233321"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grpSp>
    <xdr:clientData/>
  </xdr:twoCellAnchor>
  <xdr:twoCellAnchor>
    <xdr:from>
      <xdr:col>67</xdr:col>
      <xdr:colOff>445454</xdr:colOff>
      <xdr:row>9</xdr:row>
      <xdr:rowOff>119600</xdr:rowOff>
    </xdr:from>
    <xdr:to>
      <xdr:col>67</xdr:col>
      <xdr:colOff>512131</xdr:colOff>
      <xdr:row>13</xdr:row>
      <xdr:rowOff>87709</xdr:rowOff>
    </xdr:to>
    <xdr:grpSp>
      <xdr:nvGrpSpPr>
        <xdr:cNvPr id="41" name="グループ化 40">
          <a:extLst>
            <a:ext uri="{FF2B5EF4-FFF2-40B4-BE49-F238E27FC236}">
              <a16:creationId xmlns:a16="http://schemas.microsoft.com/office/drawing/2014/main" id="{1E268155-2B4B-49D5-A2CD-8481AB66429C}"/>
            </a:ext>
          </a:extLst>
        </xdr:cNvPr>
        <xdr:cNvGrpSpPr/>
      </xdr:nvGrpSpPr>
      <xdr:grpSpPr>
        <a:xfrm rot="5400000" flipV="1">
          <a:off x="12607363" y="1903879"/>
          <a:ext cx="634859" cy="66677"/>
          <a:chOff x="6858000" y="4124324"/>
          <a:chExt cx="762000" cy="132159"/>
        </a:xfrm>
      </xdr:grpSpPr>
      <xdr:sp macro="" textlink="">
        <xdr:nvSpPr>
          <xdr:cNvPr id="42" name="正方形/長方形 41">
            <a:extLst>
              <a:ext uri="{FF2B5EF4-FFF2-40B4-BE49-F238E27FC236}">
                <a16:creationId xmlns:a16="http://schemas.microsoft.com/office/drawing/2014/main" id="{F30FF51C-3418-7C34-560B-212F1413472E}"/>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43" name="直線 2166">
            <a:extLst>
              <a:ext uri="{FF2B5EF4-FFF2-40B4-BE49-F238E27FC236}">
                <a16:creationId xmlns:a16="http://schemas.microsoft.com/office/drawing/2014/main" id="{4E3F4C67-7C6E-6611-DFC1-6AED29B18442}"/>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4" name="直線 2167">
            <a:extLst>
              <a:ext uri="{FF2B5EF4-FFF2-40B4-BE49-F238E27FC236}">
                <a16:creationId xmlns:a16="http://schemas.microsoft.com/office/drawing/2014/main" id="{15FA37B3-3A64-5716-D997-D2973A8ED564}"/>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5" name="直線 2167">
            <a:extLst>
              <a:ext uri="{FF2B5EF4-FFF2-40B4-BE49-F238E27FC236}">
                <a16:creationId xmlns:a16="http://schemas.microsoft.com/office/drawing/2014/main" id="{8AC76E3A-63BB-6E34-03DA-68ED25D6D471}"/>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68</xdr:col>
      <xdr:colOff>86514</xdr:colOff>
      <xdr:row>9</xdr:row>
      <xdr:rowOff>102136</xdr:rowOff>
    </xdr:from>
    <xdr:to>
      <xdr:col>68</xdr:col>
      <xdr:colOff>153191</xdr:colOff>
      <xdr:row>13</xdr:row>
      <xdr:rowOff>70245</xdr:rowOff>
    </xdr:to>
    <xdr:grpSp>
      <xdr:nvGrpSpPr>
        <xdr:cNvPr id="46" name="グループ化 45">
          <a:extLst>
            <a:ext uri="{FF2B5EF4-FFF2-40B4-BE49-F238E27FC236}">
              <a16:creationId xmlns:a16="http://schemas.microsoft.com/office/drawing/2014/main" id="{A3405B5F-A4AB-4821-96EA-5F0A32A8F0BD}"/>
            </a:ext>
          </a:extLst>
        </xdr:cNvPr>
        <xdr:cNvGrpSpPr/>
      </xdr:nvGrpSpPr>
      <xdr:grpSpPr>
        <a:xfrm rot="16200000" flipV="1">
          <a:off x="12867548" y="1886415"/>
          <a:ext cx="634859" cy="66677"/>
          <a:chOff x="6858000" y="4124324"/>
          <a:chExt cx="762000" cy="132159"/>
        </a:xfrm>
      </xdr:grpSpPr>
      <xdr:sp macro="" textlink="">
        <xdr:nvSpPr>
          <xdr:cNvPr id="47" name="正方形/長方形 46">
            <a:extLst>
              <a:ext uri="{FF2B5EF4-FFF2-40B4-BE49-F238E27FC236}">
                <a16:creationId xmlns:a16="http://schemas.microsoft.com/office/drawing/2014/main" id="{A76F58D0-5A41-2883-5042-8424313F327B}"/>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48" name="直線 2166">
            <a:extLst>
              <a:ext uri="{FF2B5EF4-FFF2-40B4-BE49-F238E27FC236}">
                <a16:creationId xmlns:a16="http://schemas.microsoft.com/office/drawing/2014/main" id="{2F521407-B7F1-03B7-27CE-BB91AD2F4C4D}"/>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49" name="直線 2167">
            <a:extLst>
              <a:ext uri="{FF2B5EF4-FFF2-40B4-BE49-F238E27FC236}">
                <a16:creationId xmlns:a16="http://schemas.microsoft.com/office/drawing/2014/main" id="{8D1AA94C-AD85-0622-9737-C67C9F076804}"/>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0" name="直線 2167">
            <a:extLst>
              <a:ext uri="{FF2B5EF4-FFF2-40B4-BE49-F238E27FC236}">
                <a16:creationId xmlns:a16="http://schemas.microsoft.com/office/drawing/2014/main" id="{B75AFE31-E2AF-9C58-2945-13F97FE5EAEC}"/>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66</xdr:col>
      <xdr:colOff>9525</xdr:colOff>
      <xdr:row>2</xdr:row>
      <xdr:rowOff>78165</xdr:rowOff>
    </xdr:from>
    <xdr:to>
      <xdr:col>66</xdr:col>
      <xdr:colOff>303742</xdr:colOff>
      <xdr:row>3</xdr:row>
      <xdr:rowOff>79373</xdr:rowOff>
    </xdr:to>
    <xdr:grpSp>
      <xdr:nvGrpSpPr>
        <xdr:cNvPr id="55" name="トイレ・洋・右">
          <a:extLst>
            <a:ext uri="{FF2B5EF4-FFF2-40B4-BE49-F238E27FC236}">
              <a16:creationId xmlns:a16="http://schemas.microsoft.com/office/drawing/2014/main" id="{C93EA92B-AA39-463B-918C-C6D8F6987B78}"/>
            </a:ext>
          </a:extLst>
        </xdr:cNvPr>
        <xdr:cNvGrpSpPr>
          <a:grpSpLocks/>
        </xdr:cNvGrpSpPr>
      </xdr:nvGrpSpPr>
      <xdr:grpSpPr bwMode="auto">
        <a:xfrm>
          <a:off x="11836400" y="411540"/>
          <a:ext cx="294217" cy="167896"/>
          <a:chOff x="1316" y="200"/>
          <a:chExt cx="32" cy="18"/>
        </a:xfrm>
        <a:solidFill>
          <a:sysClr val="window" lastClr="FFFFFF"/>
        </a:solidFill>
      </xdr:grpSpPr>
      <xdr:sp macro="" textlink="">
        <xdr:nvSpPr>
          <xdr:cNvPr id="56" name="オートシェイプ 1275">
            <a:extLst>
              <a:ext uri="{FF2B5EF4-FFF2-40B4-BE49-F238E27FC236}">
                <a16:creationId xmlns:a16="http://schemas.microsoft.com/office/drawing/2014/main" id="{9197C9C6-0649-C124-6178-3D72F36389AC}"/>
              </a:ext>
            </a:extLst>
          </xdr:cNvPr>
          <xdr:cNvSpPr>
            <a:spLocks noChangeArrowheads="1"/>
          </xdr:cNvSpPr>
        </xdr:nvSpPr>
        <xdr:spPr bwMode="auto">
          <a:xfrm>
            <a:off x="1327" y="200"/>
            <a:ext cx="21" cy="18"/>
          </a:xfrm>
          <a:prstGeom prst="flowChartDelay">
            <a:avLst/>
          </a:prstGeom>
          <a:grp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7" name="オートシェイプ 1329">
            <a:extLst>
              <a:ext uri="{FF2B5EF4-FFF2-40B4-BE49-F238E27FC236}">
                <a16:creationId xmlns:a16="http://schemas.microsoft.com/office/drawing/2014/main" id="{8DBF1BFF-57AF-D220-3768-95EF05AAB11C}"/>
              </a:ext>
            </a:extLst>
          </xdr:cNvPr>
          <xdr:cNvSpPr>
            <a:spLocks noChangeArrowheads="1"/>
          </xdr:cNvSpPr>
        </xdr:nvSpPr>
        <xdr:spPr bwMode="auto">
          <a:xfrm rot="-21600000">
            <a:off x="1316" y="200"/>
            <a:ext cx="9" cy="18"/>
          </a:xfrm>
          <a:prstGeom prst="roundRect">
            <a:avLst>
              <a:gd name="adj" fmla="val 22222"/>
            </a:avLst>
          </a:prstGeom>
          <a:grpFill/>
          <a:ln w="3810"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8" name="直線 1330">
            <a:extLst>
              <a:ext uri="{FF2B5EF4-FFF2-40B4-BE49-F238E27FC236}">
                <a16:creationId xmlns:a16="http://schemas.microsoft.com/office/drawing/2014/main" id="{29B9C0D3-354F-8856-77EC-DFE16DDD0B52}"/>
              </a:ext>
            </a:extLst>
          </xdr:cNvPr>
          <xdr:cNvSpPr>
            <a:spLocks noChangeShapeType="1"/>
          </xdr:cNvSpPr>
        </xdr:nvSpPr>
        <xdr:spPr bwMode="auto">
          <a:xfrm flipH="1">
            <a:off x="1326" y="202"/>
            <a:ext cx="0" cy="14"/>
          </a:xfrm>
          <a:prstGeom prst="line">
            <a:avLst/>
          </a:prstGeom>
          <a:grp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9" name="オートシェイプ 1331">
            <a:extLst>
              <a:ext uri="{FF2B5EF4-FFF2-40B4-BE49-F238E27FC236}">
                <a16:creationId xmlns:a16="http://schemas.microsoft.com/office/drawing/2014/main" id="{B0DA7295-F36A-86BF-0D02-B1CEE6780A23}"/>
              </a:ext>
            </a:extLst>
          </xdr:cNvPr>
          <xdr:cNvSpPr>
            <a:spLocks noChangeArrowheads="1"/>
          </xdr:cNvSpPr>
        </xdr:nvSpPr>
        <xdr:spPr bwMode="auto">
          <a:xfrm flipH="1">
            <a:off x="1317" y="203"/>
            <a:ext cx="6" cy="12"/>
          </a:xfrm>
          <a:prstGeom prst="flowChartDelay">
            <a:avLst/>
          </a:prstGeom>
          <a:grp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0" name="直線 1332">
            <a:extLst>
              <a:ext uri="{FF2B5EF4-FFF2-40B4-BE49-F238E27FC236}">
                <a16:creationId xmlns:a16="http://schemas.microsoft.com/office/drawing/2014/main" id="{3F8230C3-A512-3342-5C2D-CADCF1C1B94A}"/>
              </a:ext>
            </a:extLst>
          </xdr:cNvPr>
          <xdr:cNvSpPr>
            <a:spLocks noChangeShapeType="1"/>
          </xdr:cNvSpPr>
        </xdr:nvSpPr>
        <xdr:spPr bwMode="auto">
          <a:xfrm rot="-21600000">
            <a:off x="1316" y="209"/>
            <a:ext cx="4" cy="0"/>
          </a:xfrm>
          <a:prstGeom prst="line">
            <a:avLst/>
          </a:prstGeom>
          <a:grpFill/>
          <a:ln w="19050">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65</xdr:col>
      <xdr:colOff>602196</xdr:colOff>
      <xdr:row>5</xdr:row>
      <xdr:rowOff>11641</xdr:rowOff>
    </xdr:from>
    <xdr:to>
      <xdr:col>66</xdr:col>
      <xdr:colOff>286816</xdr:colOff>
      <xdr:row>7</xdr:row>
      <xdr:rowOff>128058</xdr:rowOff>
    </xdr:to>
    <xdr:grpSp>
      <xdr:nvGrpSpPr>
        <xdr:cNvPr id="61" name="グループ化 60">
          <a:extLst>
            <a:ext uri="{FF2B5EF4-FFF2-40B4-BE49-F238E27FC236}">
              <a16:creationId xmlns:a16="http://schemas.microsoft.com/office/drawing/2014/main" id="{B1361010-2D77-46B8-9884-3167B583417A}"/>
            </a:ext>
          </a:extLst>
        </xdr:cNvPr>
        <xdr:cNvGrpSpPr/>
      </xdr:nvGrpSpPr>
      <xdr:grpSpPr>
        <a:xfrm rot="16200000">
          <a:off x="11736923" y="918102"/>
          <a:ext cx="449792" cy="303745"/>
          <a:chOff x="15277367" y="3256817"/>
          <a:chExt cx="473320" cy="328246"/>
        </a:xfrm>
      </xdr:grpSpPr>
      <xdr:sp macro="" textlink="">
        <xdr:nvSpPr>
          <xdr:cNvPr id="62" name="四角形 2263" descr="タイル・黒・大">
            <a:extLst>
              <a:ext uri="{FF2B5EF4-FFF2-40B4-BE49-F238E27FC236}">
                <a16:creationId xmlns:a16="http://schemas.microsoft.com/office/drawing/2014/main" id="{C69F2A1A-445C-6245-8E05-310B8D51FD97}"/>
              </a:ext>
            </a:extLst>
          </xdr:cNvPr>
          <xdr:cNvSpPr>
            <a:spLocks noChangeArrowheads="1"/>
          </xdr:cNvSpPr>
        </xdr:nvSpPr>
        <xdr:spPr bwMode="auto">
          <a:xfrm>
            <a:off x="15277367" y="3256817"/>
            <a:ext cx="473320" cy="328246"/>
          </a:xfrm>
          <a:prstGeom prst="rect">
            <a:avLst/>
          </a:prstGeom>
          <a:no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3" name="浴槽・小・横">
            <a:extLst>
              <a:ext uri="{FF2B5EF4-FFF2-40B4-BE49-F238E27FC236}">
                <a16:creationId xmlns:a16="http://schemas.microsoft.com/office/drawing/2014/main" id="{E9782146-EB6D-C0A8-F1D7-B779A3BE9D51}"/>
              </a:ext>
            </a:extLst>
          </xdr:cNvPr>
          <xdr:cNvSpPr>
            <a:spLocks noChangeArrowheads="1"/>
          </xdr:cNvSpPr>
        </xdr:nvSpPr>
        <xdr:spPr bwMode="auto">
          <a:xfrm>
            <a:off x="15319863" y="3299313"/>
            <a:ext cx="394922" cy="249848"/>
          </a:xfrm>
          <a:prstGeom prst="roundRect">
            <a:avLst>
              <a:gd name="adj" fmla="val 16667"/>
            </a:avLst>
          </a:prstGeom>
          <a:noFill/>
          <a:ln w="3810">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63</xdr:col>
      <xdr:colOff>254000</xdr:colOff>
      <xdr:row>11</xdr:row>
      <xdr:rowOff>65616</xdr:rowOff>
    </xdr:from>
    <xdr:to>
      <xdr:col>63</xdr:col>
      <xdr:colOff>336550</xdr:colOff>
      <xdr:row>11</xdr:row>
      <xdr:rowOff>135466</xdr:rowOff>
    </xdr:to>
    <xdr:sp macro="" textlink="">
      <xdr:nvSpPr>
        <xdr:cNvPr id="69" name="円/楕円 16">
          <a:extLst>
            <a:ext uri="{FF2B5EF4-FFF2-40B4-BE49-F238E27FC236}">
              <a16:creationId xmlns:a16="http://schemas.microsoft.com/office/drawing/2014/main" id="{7810235B-D8E5-42A2-92C3-4A5D7A3338C8}"/>
            </a:ext>
          </a:extLst>
        </xdr:cNvPr>
        <xdr:cNvSpPr/>
      </xdr:nvSpPr>
      <xdr:spPr>
        <a:xfrm>
          <a:off x="10312400" y="1928283"/>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4230</xdr:colOff>
      <xdr:row>2</xdr:row>
      <xdr:rowOff>7408</xdr:rowOff>
    </xdr:from>
    <xdr:to>
      <xdr:col>65</xdr:col>
      <xdr:colOff>304800</xdr:colOff>
      <xdr:row>4</xdr:row>
      <xdr:rowOff>33867</xdr:rowOff>
    </xdr:to>
    <xdr:grpSp>
      <xdr:nvGrpSpPr>
        <xdr:cNvPr id="70" name="グループ化 65">
          <a:extLst>
            <a:ext uri="{FF2B5EF4-FFF2-40B4-BE49-F238E27FC236}">
              <a16:creationId xmlns:a16="http://schemas.microsoft.com/office/drawing/2014/main" id="{8821689E-7ADC-4D1E-B8C5-E72ABFC176A3}"/>
            </a:ext>
          </a:extLst>
        </xdr:cNvPr>
        <xdr:cNvGrpSpPr>
          <a:grpSpLocks/>
        </xdr:cNvGrpSpPr>
      </xdr:nvGrpSpPr>
      <xdr:grpSpPr bwMode="auto">
        <a:xfrm>
          <a:off x="11211980" y="340783"/>
          <a:ext cx="300570" cy="359834"/>
          <a:chOff x="4775309" y="5104087"/>
          <a:chExt cx="394468" cy="403992"/>
        </a:xfrm>
      </xdr:grpSpPr>
      <xdr:cxnSp macro="">
        <xdr:nvCxnSpPr>
          <xdr:cNvPr id="71" name="直線コネクタ 66">
            <a:extLst>
              <a:ext uri="{FF2B5EF4-FFF2-40B4-BE49-F238E27FC236}">
                <a16:creationId xmlns:a16="http://schemas.microsoft.com/office/drawing/2014/main" id="{F1EA1B6C-95BD-BBAA-98C6-8322396251D7}"/>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72" name="円弧 63">
            <a:extLst>
              <a:ext uri="{FF2B5EF4-FFF2-40B4-BE49-F238E27FC236}">
                <a16:creationId xmlns:a16="http://schemas.microsoft.com/office/drawing/2014/main" id="{855A655B-D7B2-568E-8BDF-A37228EE3848}"/>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73" name="直線コネクタ 68">
            <a:extLst>
              <a:ext uri="{FF2B5EF4-FFF2-40B4-BE49-F238E27FC236}">
                <a16:creationId xmlns:a16="http://schemas.microsoft.com/office/drawing/2014/main" id="{FE10E5C1-2F54-009D-F900-CD802562CBE0}"/>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62</xdr:col>
      <xdr:colOff>33866</xdr:colOff>
      <xdr:row>20</xdr:row>
      <xdr:rowOff>107950</xdr:rowOff>
    </xdr:from>
    <xdr:to>
      <xdr:col>63</xdr:col>
      <xdr:colOff>220495</xdr:colOff>
      <xdr:row>22</xdr:row>
      <xdr:rowOff>70908</xdr:rowOff>
    </xdr:to>
    <xdr:sp macro="" textlink="">
      <xdr:nvSpPr>
        <xdr:cNvPr id="74" name="テキスト ボックス 73">
          <a:extLst>
            <a:ext uri="{FF2B5EF4-FFF2-40B4-BE49-F238E27FC236}">
              <a16:creationId xmlns:a16="http://schemas.microsoft.com/office/drawing/2014/main" id="{84CF6D2A-C071-48AA-BF90-99D904B4FAC8}"/>
            </a:ext>
          </a:extLst>
        </xdr:cNvPr>
        <xdr:cNvSpPr txBox="1"/>
      </xdr:nvSpPr>
      <xdr:spPr>
        <a:xfrm>
          <a:off x="9482666" y="3494617"/>
          <a:ext cx="796229" cy="30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洗面所</a:t>
          </a:r>
          <a:endParaRPr kumimoji="1" lang="en-US" altLang="ja-JP" sz="1100" b="1"/>
        </a:p>
        <a:p>
          <a:endParaRPr kumimoji="1" lang="en-US" altLang="ja-JP" sz="1400" b="1"/>
        </a:p>
        <a:p>
          <a:endParaRPr kumimoji="1" lang="ja-JP" altLang="en-US" sz="1400" b="1"/>
        </a:p>
      </xdr:txBody>
    </xdr:sp>
    <xdr:clientData/>
  </xdr:twoCellAnchor>
  <xdr:twoCellAnchor>
    <xdr:from>
      <xdr:col>62</xdr:col>
      <xdr:colOff>23286</xdr:colOff>
      <xdr:row>10</xdr:row>
      <xdr:rowOff>135469</xdr:rowOff>
    </xdr:from>
    <xdr:to>
      <xdr:col>62</xdr:col>
      <xdr:colOff>590552</xdr:colOff>
      <xdr:row>12</xdr:row>
      <xdr:rowOff>40218</xdr:rowOff>
    </xdr:to>
    <xdr:sp macro="" textlink="">
      <xdr:nvSpPr>
        <xdr:cNvPr id="75" name="テキスト ボックス 74">
          <a:extLst>
            <a:ext uri="{FF2B5EF4-FFF2-40B4-BE49-F238E27FC236}">
              <a16:creationId xmlns:a16="http://schemas.microsoft.com/office/drawing/2014/main" id="{24CB2D52-45F1-4BD0-94BF-2E068ED64A7A}"/>
            </a:ext>
          </a:extLst>
        </xdr:cNvPr>
        <xdr:cNvSpPr txBox="1"/>
      </xdr:nvSpPr>
      <xdr:spPr>
        <a:xfrm>
          <a:off x="9472086" y="1828802"/>
          <a:ext cx="567266" cy="243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台所</a:t>
          </a:r>
          <a:endParaRPr kumimoji="1" lang="en-US" altLang="ja-JP" sz="1100" b="1"/>
        </a:p>
        <a:p>
          <a:endParaRPr kumimoji="1" lang="ja-JP" altLang="en-US" sz="1400" b="1"/>
        </a:p>
      </xdr:txBody>
    </xdr:sp>
    <xdr:clientData/>
  </xdr:twoCellAnchor>
  <xdr:twoCellAnchor>
    <xdr:from>
      <xdr:col>62</xdr:col>
      <xdr:colOff>32809</xdr:colOff>
      <xdr:row>22</xdr:row>
      <xdr:rowOff>124884</xdr:rowOff>
    </xdr:from>
    <xdr:to>
      <xdr:col>63</xdr:col>
      <xdr:colOff>93135</xdr:colOff>
      <xdr:row>24</xdr:row>
      <xdr:rowOff>42333</xdr:rowOff>
    </xdr:to>
    <xdr:sp macro="" textlink="">
      <xdr:nvSpPr>
        <xdr:cNvPr id="76" name="テキスト ボックス 75">
          <a:extLst>
            <a:ext uri="{FF2B5EF4-FFF2-40B4-BE49-F238E27FC236}">
              <a16:creationId xmlns:a16="http://schemas.microsoft.com/office/drawing/2014/main" id="{FB11090C-56EC-4091-9D7E-496C81CFA86D}"/>
            </a:ext>
          </a:extLst>
        </xdr:cNvPr>
        <xdr:cNvSpPr txBox="1"/>
      </xdr:nvSpPr>
      <xdr:spPr>
        <a:xfrm>
          <a:off x="9481609" y="3850217"/>
          <a:ext cx="669926" cy="256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ポーチ</a:t>
          </a:r>
          <a:endParaRPr kumimoji="1" lang="en-US" altLang="ja-JP" sz="1100" b="1"/>
        </a:p>
        <a:p>
          <a:endParaRPr kumimoji="1" lang="en-US" altLang="ja-JP" sz="1400" b="1"/>
        </a:p>
        <a:p>
          <a:endParaRPr kumimoji="1" lang="ja-JP" altLang="en-US" sz="1400" b="1"/>
        </a:p>
      </xdr:txBody>
    </xdr:sp>
    <xdr:clientData/>
  </xdr:twoCellAnchor>
  <xdr:twoCellAnchor>
    <xdr:from>
      <xdr:col>64</xdr:col>
      <xdr:colOff>27972</xdr:colOff>
      <xdr:row>5</xdr:row>
      <xdr:rowOff>87387</xdr:rowOff>
    </xdr:from>
    <xdr:to>
      <xdr:col>64</xdr:col>
      <xdr:colOff>172178</xdr:colOff>
      <xdr:row>7</xdr:row>
      <xdr:rowOff>29304</xdr:rowOff>
    </xdr:to>
    <xdr:grpSp>
      <xdr:nvGrpSpPr>
        <xdr:cNvPr id="77" name="グループ化 76">
          <a:extLst>
            <a:ext uri="{FF2B5EF4-FFF2-40B4-BE49-F238E27FC236}">
              <a16:creationId xmlns:a16="http://schemas.microsoft.com/office/drawing/2014/main" id="{2AE4296C-CA0F-41A0-BF98-496374C715EE}"/>
            </a:ext>
          </a:extLst>
        </xdr:cNvPr>
        <xdr:cNvGrpSpPr/>
      </xdr:nvGrpSpPr>
      <xdr:grpSpPr>
        <a:xfrm>
          <a:off x="10616597" y="920825"/>
          <a:ext cx="144206" cy="275292"/>
          <a:chOff x="4275221" y="72678758"/>
          <a:chExt cx="180190" cy="270000"/>
        </a:xfrm>
      </xdr:grpSpPr>
      <xdr:sp macro="" textlink="">
        <xdr:nvSpPr>
          <xdr:cNvPr id="78" name="正方形/長方形 77">
            <a:extLst>
              <a:ext uri="{FF2B5EF4-FFF2-40B4-BE49-F238E27FC236}">
                <a16:creationId xmlns:a16="http://schemas.microsoft.com/office/drawing/2014/main" id="{C45B8978-EA2B-5D22-43D5-416403D19954}"/>
              </a:ext>
            </a:extLst>
          </xdr:cNvPr>
          <xdr:cNvSpPr/>
        </xdr:nvSpPr>
        <xdr:spPr>
          <a:xfrm>
            <a:off x="4275221" y="72678758"/>
            <a:ext cx="180000" cy="270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sp macro="" textlink="">
        <xdr:nvSpPr>
          <xdr:cNvPr id="79" name="正方形/長方形 78">
            <a:extLst>
              <a:ext uri="{FF2B5EF4-FFF2-40B4-BE49-F238E27FC236}">
                <a16:creationId xmlns:a16="http://schemas.microsoft.com/office/drawing/2014/main" id="{CBA593D8-2761-0C1C-3C21-9A46A2DDD263}"/>
              </a:ext>
            </a:extLst>
          </xdr:cNvPr>
          <xdr:cNvSpPr/>
        </xdr:nvSpPr>
        <xdr:spPr>
          <a:xfrm>
            <a:off x="4347411" y="72795064"/>
            <a:ext cx="108000" cy="18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grpSp>
    <xdr:clientData/>
  </xdr:twoCellAnchor>
  <xdr:twoCellAnchor>
    <xdr:from>
      <xdr:col>66</xdr:col>
      <xdr:colOff>578574</xdr:colOff>
      <xdr:row>1</xdr:row>
      <xdr:rowOff>106809</xdr:rowOff>
    </xdr:from>
    <xdr:to>
      <xdr:col>67</xdr:col>
      <xdr:colOff>577640</xdr:colOff>
      <xdr:row>4</xdr:row>
      <xdr:rowOff>35986</xdr:rowOff>
    </xdr:to>
    <xdr:grpSp>
      <xdr:nvGrpSpPr>
        <xdr:cNvPr id="80" name="グループ化 79">
          <a:extLst>
            <a:ext uri="{FF2B5EF4-FFF2-40B4-BE49-F238E27FC236}">
              <a16:creationId xmlns:a16="http://schemas.microsoft.com/office/drawing/2014/main" id="{E6BE4FCD-D76C-42F0-ABF7-EA9A506118E1}"/>
            </a:ext>
          </a:extLst>
        </xdr:cNvPr>
        <xdr:cNvGrpSpPr/>
      </xdr:nvGrpSpPr>
      <xdr:grpSpPr>
        <a:xfrm rot="16200000">
          <a:off x="12499925" y="179021"/>
          <a:ext cx="429239" cy="618191"/>
          <a:chOff x="7892715" y="72349894"/>
          <a:chExt cx="360000" cy="720000"/>
        </a:xfrm>
      </xdr:grpSpPr>
      <xdr:sp macro="" textlink="">
        <xdr:nvSpPr>
          <xdr:cNvPr id="81" name="正方形/長方形 80">
            <a:extLst>
              <a:ext uri="{FF2B5EF4-FFF2-40B4-BE49-F238E27FC236}">
                <a16:creationId xmlns:a16="http://schemas.microsoft.com/office/drawing/2014/main" id="{A3A2DFAB-127B-DDAE-F939-C6D92CF5621D}"/>
              </a:ext>
            </a:extLst>
          </xdr:cNvPr>
          <xdr:cNvSpPr/>
        </xdr:nvSpPr>
        <xdr:spPr>
          <a:xfrm>
            <a:off x="7892715" y="72349894"/>
            <a:ext cx="360000" cy="720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kumimoji="1" lang="ja-JP" altLang="en-US" sz="800">
                <a:latin typeface="Meiryo UI" pitchFamily="50" charset="-128"/>
                <a:ea typeface="Meiryo UI" pitchFamily="50" charset="-128"/>
              </a:rPr>
              <a:t>ベッド</a:t>
            </a:r>
          </a:p>
        </xdr:txBody>
      </xdr:sp>
      <xdr:sp macro="" textlink="">
        <xdr:nvSpPr>
          <xdr:cNvPr id="82" name="正方形/長方形 81">
            <a:extLst>
              <a:ext uri="{FF2B5EF4-FFF2-40B4-BE49-F238E27FC236}">
                <a16:creationId xmlns:a16="http://schemas.microsoft.com/office/drawing/2014/main" id="{77FD1630-B6C8-001D-9BC7-D19038D5A3FE}"/>
              </a:ext>
            </a:extLst>
          </xdr:cNvPr>
          <xdr:cNvSpPr/>
        </xdr:nvSpPr>
        <xdr:spPr>
          <a:xfrm>
            <a:off x="7892715" y="72350156"/>
            <a:ext cx="360000" cy="8823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clientData/>
  </xdr:twoCellAnchor>
  <xdr:twoCellAnchor>
    <xdr:from>
      <xdr:col>66</xdr:col>
      <xdr:colOff>594872</xdr:colOff>
      <xdr:row>5</xdr:row>
      <xdr:rowOff>7322</xdr:rowOff>
    </xdr:from>
    <xdr:to>
      <xdr:col>67</xdr:col>
      <xdr:colOff>567185</xdr:colOff>
      <xdr:row>7</xdr:row>
      <xdr:rowOff>97282</xdr:rowOff>
    </xdr:to>
    <xdr:grpSp>
      <xdr:nvGrpSpPr>
        <xdr:cNvPr id="83" name="グループ化 82">
          <a:extLst>
            <a:ext uri="{FF2B5EF4-FFF2-40B4-BE49-F238E27FC236}">
              <a16:creationId xmlns:a16="http://schemas.microsoft.com/office/drawing/2014/main" id="{84338F9E-FCD0-4878-9931-632AF33043F3}"/>
            </a:ext>
          </a:extLst>
        </xdr:cNvPr>
        <xdr:cNvGrpSpPr/>
      </xdr:nvGrpSpPr>
      <xdr:grpSpPr>
        <a:xfrm rot="16200000">
          <a:off x="12505798" y="756709"/>
          <a:ext cx="423335" cy="591438"/>
          <a:chOff x="7892715" y="72349894"/>
          <a:chExt cx="360000" cy="720000"/>
        </a:xfrm>
      </xdr:grpSpPr>
      <xdr:sp macro="" textlink="">
        <xdr:nvSpPr>
          <xdr:cNvPr id="84" name="正方形/長方形 83">
            <a:extLst>
              <a:ext uri="{FF2B5EF4-FFF2-40B4-BE49-F238E27FC236}">
                <a16:creationId xmlns:a16="http://schemas.microsoft.com/office/drawing/2014/main" id="{BE47C9F9-FC40-C9C9-8E6D-7E60EB0100E3}"/>
              </a:ext>
            </a:extLst>
          </xdr:cNvPr>
          <xdr:cNvSpPr/>
        </xdr:nvSpPr>
        <xdr:spPr>
          <a:xfrm>
            <a:off x="7892715" y="72349894"/>
            <a:ext cx="360000" cy="720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r>
              <a:rPr kumimoji="1" lang="ja-JP" altLang="en-US" sz="800">
                <a:latin typeface="Meiryo UI" pitchFamily="50" charset="-128"/>
                <a:ea typeface="Meiryo UI" pitchFamily="50" charset="-128"/>
              </a:rPr>
              <a:t>ベッド</a:t>
            </a:r>
          </a:p>
        </xdr:txBody>
      </xdr:sp>
      <xdr:sp macro="" textlink="">
        <xdr:nvSpPr>
          <xdr:cNvPr id="85" name="正方形/長方形 84">
            <a:extLst>
              <a:ext uri="{FF2B5EF4-FFF2-40B4-BE49-F238E27FC236}">
                <a16:creationId xmlns:a16="http://schemas.microsoft.com/office/drawing/2014/main" id="{3E9FD741-610F-7364-F353-88B382619AE8}"/>
              </a:ext>
            </a:extLst>
          </xdr:cNvPr>
          <xdr:cNvSpPr/>
        </xdr:nvSpPr>
        <xdr:spPr>
          <a:xfrm>
            <a:off x="7892715" y="72350156"/>
            <a:ext cx="360000" cy="88232"/>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clientData/>
  </xdr:twoCellAnchor>
  <xdr:twoCellAnchor>
    <xdr:from>
      <xdr:col>62</xdr:col>
      <xdr:colOff>232834</xdr:colOff>
      <xdr:row>5</xdr:row>
      <xdr:rowOff>100541</xdr:rowOff>
    </xdr:from>
    <xdr:to>
      <xdr:col>63</xdr:col>
      <xdr:colOff>322792</xdr:colOff>
      <xdr:row>6</xdr:row>
      <xdr:rowOff>138328</xdr:rowOff>
    </xdr:to>
    <xdr:grpSp>
      <xdr:nvGrpSpPr>
        <xdr:cNvPr id="86" name="グループ化 85">
          <a:extLst>
            <a:ext uri="{FF2B5EF4-FFF2-40B4-BE49-F238E27FC236}">
              <a16:creationId xmlns:a16="http://schemas.microsoft.com/office/drawing/2014/main" id="{3C225611-CEEA-46F3-A1ED-9BED5B8694E5}"/>
            </a:ext>
          </a:extLst>
        </xdr:cNvPr>
        <xdr:cNvGrpSpPr/>
      </xdr:nvGrpSpPr>
      <xdr:grpSpPr>
        <a:xfrm>
          <a:off x="9583209" y="933979"/>
          <a:ext cx="709083" cy="204474"/>
          <a:chOff x="4845268" y="86148042"/>
          <a:chExt cx="882000" cy="291786"/>
        </a:xfrm>
      </xdr:grpSpPr>
      <xdr:sp macro="" textlink="">
        <xdr:nvSpPr>
          <xdr:cNvPr id="87" name="正方形/長方形 86">
            <a:extLst>
              <a:ext uri="{FF2B5EF4-FFF2-40B4-BE49-F238E27FC236}">
                <a16:creationId xmlns:a16="http://schemas.microsoft.com/office/drawing/2014/main" id="{23647B0A-CE05-41BC-B8F2-85F3294B9823}"/>
              </a:ext>
            </a:extLst>
          </xdr:cNvPr>
          <xdr:cNvSpPr/>
        </xdr:nvSpPr>
        <xdr:spPr>
          <a:xfrm>
            <a:off x="4845268" y="86148042"/>
            <a:ext cx="882000" cy="77129"/>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grpSp>
        <xdr:nvGrpSpPr>
          <xdr:cNvPr id="88" name="グループ化 1698">
            <a:extLst>
              <a:ext uri="{FF2B5EF4-FFF2-40B4-BE49-F238E27FC236}">
                <a16:creationId xmlns:a16="http://schemas.microsoft.com/office/drawing/2014/main" id="{9D9417B8-58F3-95E5-BC38-06A1D7CC90B7}"/>
              </a:ext>
            </a:extLst>
          </xdr:cNvPr>
          <xdr:cNvGrpSpPr/>
        </xdr:nvGrpSpPr>
        <xdr:grpSpPr>
          <a:xfrm rot="16200000">
            <a:off x="5182004" y="85895391"/>
            <a:ext cx="212958" cy="875915"/>
            <a:chOff x="4149254" y="74738707"/>
            <a:chExt cx="216000" cy="882000"/>
          </a:xfrm>
        </xdr:grpSpPr>
        <xdr:sp macro="" textlink="">
          <xdr:nvSpPr>
            <xdr:cNvPr id="89" name="正方形/長方形 88">
              <a:extLst>
                <a:ext uri="{FF2B5EF4-FFF2-40B4-BE49-F238E27FC236}">
                  <a16:creationId xmlns:a16="http://schemas.microsoft.com/office/drawing/2014/main" id="{2E6B72BB-F118-7820-CCF9-73F751008EFD}"/>
                </a:ext>
              </a:extLst>
            </xdr:cNvPr>
            <xdr:cNvSpPr/>
          </xdr:nvSpPr>
          <xdr:spPr>
            <a:xfrm>
              <a:off x="4149254" y="74738707"/>
              <a:ext cx="216000" cy="882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grpSp>
          <xdr:nvGrpSpPr>
            <xdr:cNvPr id="90" name="グループ化 1224">
              <a:extLst>
                <a:ext uri="{FF2B5EF4-FFF2-40B4-BE49-F238E27FC236}">
                  <a16:creationId xmlns:a16="http://schemas.microsoft.com/office/drawing/2014/main" id="{3AAAA7FA-1C3D-218C-256C-839E869F0503}"/>
                </a:ext>
              </a:extLst>
            </xdr:cNvPr>
            <xdr:cNvGrpSpPr/>
          </xdr:nvGrpSpPr>
          <xdr:grpSpPr>
            <a:xfrm>
              <a:off x="4165295" y="75340285"/>
              <a:ext cx="180000" cy="252000"/>
              <a:chOff x="6134464" y="75067570"/>
              <a:chExt cx="180000" cy="252000"/>
            </a:xfrm>
          </xdr:grpSpPr>
          <xdr:sp macro="" textlink="">
            <xdr:nvSpPr>
              <xdr:cNvPr id="94" name="正方形/長方形 93">
                <a:extLst>
                  <a:ext uri="{FF2B5EF4-FFF2-40B4-BE49-F238E27FC236}">
                    <a16:creationId xmlns:a16="http://schemas.microsoft.com/office/drawing/2014/main" id="{51064955-9528-595E-E2D5-42C67AF34D6D}"/>
                  </a:ext>
                </a:extLst>
              </xdr:cNvPr>
              <xdr:cNvSpPr/>
            </xdr:nvSpPr>
            <xdr:spPr>
              <a:xfrm>
                <a:off x="6134464" y="75067570"/>
                <a:ext cx="180000" cy="252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sp macro="" textlink="">
            <xdr:nvSpPr>
              <xdr:cNvPr id="95" name="円/楕円 56">
                <a:extLst>
                  <a:ext uri="{FF2B5EF4-FFF2-40B4-BE49-F238E27FC236}">
                    <a16:creationId xmlns:a16="http://schemas.microsoft.com/office/drawing/2014/main" id="{F8D6BCC2-9819-7776-892E-B99E292747AB}"/>
                  </a:ext>
                </a:extLst>
              </xdr:cNvPr>
              <xdr:cNvSpPr/>
            </xdr:nvSpPr>
            <xdr:spPr>
              <a:xfrm>
                <a:off x="6156157" y="75213418"/>
                <a:ext cx="72000" cy="72000"/>
              </a:xfrm>
              <a:prstGeom prst="ellipse">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sp macro="" textlink="">
            <xdr:nvSpPr>
              <xdr:cNvPr id="96" name="円/楕円 57">
                <a:extLst>
                  <a:ext uri="{FF2B5EF4-FFF2-40B4-BE49-F238E27FC236}">
                    <a16:creationId xmlns:a16="http://schemas.microsoft.com/office/drawing/2014/main" id="{4F2F12BC-FD9E-9A83-259F-831F68BEA25D}"/>
                  </a:ext>
                </a:extLst>
              </xdr:cNvPr>
              <xdr:cNvSpPr/>
            </xdr:nvSpPr>
            <xdr:spPr>
              <a:xfrm>
                <a:off x="6156157" y="75093103"/>
                <a:ext cx="72000" cy="72000"/>
              </a:xfrm>
              <a:prstGeom prst="ellipse">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sp macro="" textlink="">
            <xdr:nvSpPr>
              <xdr:cNvPr id="97" name="円/楕円 58">
                <a:extLst>
                  <a:ext uri="{FF2B5EF4-FFF2-40B4-BE49-F238E27FC236}">
                    <a16:creationId xmlns:a16="http://schemas.microsoft.com/office/drawing/2014/main" id="{569F8EB1-4124-0449-3EC8-BA08A8461BB0}"/>
                  </a:ext>
                </a:extLst>
              </xdr:cNvPr>
              <xdr:cNvSpPr/>
            </xdr:nvSpPr>
            <xdr:spPr>
              <a:xfrm>
                <a:off x="6224336" y="75157272"/>
                <a:ext cx="72000" cy="72000"/>
              </a:xfrm>
              <a:prstGeom prst="ellipse">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grpSp>
          <xdr:nvGrpSpPr>
            <xdr:cNvPr id="91" name="グループ化 1228">
              <a:extLst>
                <a:ext uri="{FF2B5EF4-FFF2-40B4-BE49-F238E27FC236}">
                  <a16:creationId xmlns:a16="http://schemas.microsoft.com/office/drawing/2014/main" id="{9911E598-1857-4C51-CD55-8D2652FFA52F}"/>
                </a:ext>
              </a:extLst>
            </xdr:cNvPr>
            <xdr:cNvGrpSpPr/>
          </xdr:nvGrpSpPr>
          <xdr:grpSpPr>
            <a:xfrm>
              <a:off x="4174959" y="74788296"/>
              <a:ext cx="180190" cy="252000"/>
              <a:chOff x="5999747" y="74996842"/>
              <a:chExt cx="180190" cy="252000"/>
            </a:xfrm>
          </xdr:grpSpPr>
          <xdr:sp macro="" textlink="">
            <xdr:nvSpPr>
              <xdr:cNvPr id="92" name="正方形/長方形 91">
                <a:extLst>
                  <a:ext uri="{FF2B5EF4-FFF2-40B4-BE49-F238E27FC236}">
                    <a16:creationId xmlns:a16="http://schemas.microsoft.com/office/drawing/2014/main" id="{61CB9574-9A65-CC03-2AD5-5FFFA6599DDC}"/>
                  </a:ext>
                </a:extLst>
              </xdr:cNvPr>
              <xdr:cNvSpPr/>
            </xdr:nvSpPr>
            <xdr:spPr>
              <a:xfrm>
                <a:off x="5999747" y="74996842"/>
                <a:ext cx="180000" cy="252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sp macro="" textlink="">
            <xdr:nvSpPr>
              <xdr:cNvPr id="93" name="正方形/長方形 92">
                <a:extLst>
                  <a:ext uri="{FF2B5EF4-FFF2-40B4-BE49-F238E27FC236}">
                    <a16:creationId xmlns:a16="http://schemas.microsoft.com/office/drawing/2014/main" id="{45D2120A-CCA4-D754-8D39-0DE9263D9D32}"/>
                  </a:ext>
                </a:extLst>
              </xdr:cNvPr>
              <xdr:cNvSpPr/>
            </xdr:nvSpPr>
            <xdr:spPr>
              <a:xfrm>
                <a:off x="6071937" y="75113148"/>
                <a:ext cx="108000" cy="18000"/>
              </a:xfrm>
              <a:prstGeom prst="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800">
                  <a:latin typeface="Meiryo UI" pitchFamily="50" charset="-128"/>
                  <a:ea typeface="Meiryo UI" pitchFamily="50" charset="-128"/>
                </a:endParaRPr>
              </a:p>
            </xdr:txBody>
          </xdr:sp>
        </xdr:grpSp>
      </xdr:grpSp>
    </xdr:grpSp>
    <xdr:clientData/>
  </xdr:twoCellAnchor>
  <xdr:twoCellAnchor>
    <xdr:from>
      <xdr:col>62</xdr:col>
      <xdr:colOff>354544</xdr:colOff>
      <xdr:row>1</xdr:row>
      <xdr:rowOff>116417</xdr:rowOff>
    </xdr:from>
    <xdr:to>
      <xdr:col>63</xdr:col>
      <xdr:colOff>150765</xdr:colOff>
      <xdr:row>4</xdr:row>
      <xdr:rowOff>73871</xdr:rowOff>
    </xdr:to>
    <xdr:grpSp>
      <xdr:nvGrpSpPr>
        <xdr:cNvPr id="98" name="グループ化 97">
          <a:extLst>
            <a:ext uri="{FF2B5EF4-FFF2-40B4-BE49-F238E27FC236}">
              <a16:creationId xmlns:a16="http://schemas.microsoft.com/office/drawing/2014/main" id="{E19CBF54-BB7D-4E12-994C-50E965FADEEC}"/>
            </a:ext>
          </a:extLst>
        </xdr:cNvPr>
        <xdr:cNvGrpSpPr/>
      </xdr:nvGrpSpPr>
      <xdr:grpSpPr>
        <a:xfrm rot="5400000">
          <a:off x="9683834" y="304190"/>
          <a:ext cx="457516" cy="415346"/>
          <a:chOff x="5524309" y="72506302"/>
          <a:chExt cx="455372" cy="432000"/>
        </a:xfrm>
      </xdr:grpSpPr>
      <xdr:grpSp>
        <xdr:nvGrpSpPr>
          <xdr:cNvPr id="99" name="グループ化 1252">
            <a:extLst>
              <a:ext uri="{FF2B5EF4-FFF2-40B4-BE49-F238E27FC236}">
                <a16:creationId xmlns:a16="http://schemas.microsoft.com/office/drawing/2014/main" id="{12A2E9ED-B534-DC5A-E885-1662296771DD}"/>
              </a:ext>
            </a:extLst>
          </xdr:cNvPr>
          <xdr:cNvGrpSpPr/>
        </xdr:nvGrpSpPr>
        <xdr:grpSpPr>
          <a:xfrm rot="16200000">
            <a:off x="5526504" y="72578496"/>
            <a:ext cx="144000" cy="148389"/>
            <a:chOff x="4844714" y="72482242"/>
            <a:chExt cx="144000" cy="148389"/>
          </a:xfrm>
        </xdr:grpSpPr>
        <xdr:sp macro="" textlink="">
          <xdr:nvSpPr>
            <xdr:cNvPr id="110" name="角丸四角形 15">
              <a:extLst>
                <a:ext uri="{FF2B5EF4-FFF2-40B4-BE49-F238E27FC236}">
                  <a16:creationId xmlns:a16="http://schemas.microsoft.com/office/drawing/2014/main" id="{17D3A05A-47D6-F5B3-1BFF-603D14EB21DB}"/>
                </a:ext>
              </a:extLst>
            </xdr:cNvPr>
            <xdr:cNvSpPr/>
          </xdr:nvSpPr>
          <xdr:spPr>
            <a:xfrm>
              <a:off x="4844714" y="72482242"/>
              <a:ext cx="144000" cy="148389"/>
            </a:xfrm>
            <a:prstGeom prst="roundRect">
              <a:avLst>
                <a:gd name="adj" fmla="val 43695"/>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sp macro="" textlink="">
          <xdr:nvSpPr>
            <xdr:cNvPr id="111" name="角丸四角形 16">
              <a:extLst>
                <a:ext uri="{FF2B5EF4-FFF2-40B4-BE49-F238E27FC236}">
                  <a16:creationId xmlns:a16="http://schemas.microsoft.com/office/drawing/2014/main" id="{B01DD67F-1A14-ACFE-2F70-92DA05B8E978}"/>
                </a:ext>
              </a:extLst>
            </xdr:cNvPr>
            <xdr:cNvSpPr/>
          </xdr:nvSpPr>
          <xdr:spPr>
            <a:xfrm>
              <a:off x="4844714" y="72482248"/>
              <a:ext cx="144000" cy="28800"/>
            </a:xfrm>
            <a:prstGeom prst="round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grpSp>
        <xdr:nvGrpSpPr>
          <xdr:cNvPr id="100" name="グループ化 1253">
            <a:extLst>
              <a:ext uri="{FF2B5EF4-FFF2-40B4-BE49-F238E27FC236}">
                <a16:creationId xmlns:a16="http://schemas.microsoft.com/office/drawing/2014/main" id="{BC21852D-58B2-2043-B320-14210FB4CAC6}"/>
              </a:ext>
            </a:extLst>
          </xdr:cNvPr>
          <xdr:cNvGrpSpPr/>
        </xdr:nvGrpSpPr>
        <xdr:grpSpPr>
          <a:xfrm rot="16200000">
            <a:off x="5526505" y="72746939"/>
            <a:ext cx="144000" cy="148389"/>
            <a:chOff x="4844714" y="72482242"/>
            <a:chExt cx="144000" cy="148389"/>
          </a:xfrm>
        </xdr:grpSpPr>
        <xdr:sp macro="" textlink="">
          <xdr:nvSpPr>
            <xdr:cNvPr id="108" name="角丸四角形 13">
              <a:extLst>
                <a:ext uri="{FF2B5EF4-FFF2-40B4-BE49-F238E27FC236}">
                  <a16:creationId xmlns:a16="http://schemas.microsoft.com/office/drawing/2014/main" id="{B757164E-3B19-0554-A38E-F521D66DFD23}"/>
                </a:ext>
              </a:extLst>
            </xdr:cNvPr>
            <xdr:cNvSpPr/>
          </xdr:nvSpPr>
          <xdr:spPr>
            <a:xfrm>
              <a:off x="4844714" y="72482242"/>
              <a:ext cx="144000" cy="148389"/>
            </a:xfrm>
            <a:prstGeom prst="roundRect">
              <a:avLst>
                <a:gd name="adj" fmla="val 43695"/>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sp macro="" textlink="">
          <xdr:nvSpPr>
            <xdr:cNvPr id="109" name="角丸四角形 14">
              <a:extLst>
                <a:ext uri="{FF2B5EF4-FFF2-40B4-BE49-F238E27FC236}">
                  <a16:creationId xmlns:a16="http://schemas.microsoft.com/office/drawing/2014/main" id="{894BC894-1960-D757-D9A1-3478E575821D}"/>
                </a:ext>
              </a:extLst>
            </xdr:cNvPr>
            <xdr:cNvSpPr/>
          </xdr:nvSpPr>
          <xdr:spPr>
            <a:xfrm>
              <a:off x="4844714" y="72482248"/>
              <a:ext cx="144000" cy="28800"/>
            </a:xfrm>
            <a:prstGeom prst="round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grpSp>
        <xdr:nvGrpSpPr>
          <xdr:cNvPr id="101" name="グループ化 1256">
            <a:extLst>
              <a:ext uri="{FF2B5EF4-FFF2-40B4-BE49-F238E27FC236}">
                <a16:creationId xmlns:a16="http://schemas.microsoft.com/office/drawing/2014/main" id="{E2B84DEF-BD16-BF19-F323-DD498ACF2BC1}"/>
              </a:ext>
            </a:extLst>
          </xdr:cNvPr>
          <xdr:cNvGrpSpPr/>
        </xdr:nvGrpSpPr>
        <xdr:grpSpPr>
          <a:xfrm rot="5400000">
            <a:off x="5831481" y="72574303"/>
            <a:ext cx="144001" cy="152398"/>
            <a:chOff x="4844712" y="72506327"/>
            <a:chExt cx="144001" cy="152398"/>
          </a:xfrm>
        </xdr:grpSpPr>
        <xdr:sp macro="" textlink="">
          <xdr:nvSpPr>
            <xdr:cNvPr id="106" name="角丸四角形 11">
              <a:extLst>
                <a:ext uri="{FF2B5EF4-FFF2-40B4-BE49-F238E27FC236}">
                  <a16:creationId xmlns:a16="http://schemas.microsoft.com/office/drawing/2014/main" id="{3C0A1899-9DA3-2564-2247-B93350AC4E50}"/>
                </a:ext>
              </a:extLst>
            </xdr:cNvPr>
            <xdr:cNvSpPr/>
          </xdr:nvSpPr>
          <xdr:spPr>
            <a:xfrm>
              <a:off x="4844712" y="72510336"/>
              <a:ext cx="144000" cy="148389"/>
            </a:xfrm>
            <a:prstGeom prst="roundRect">
              <a:avLst>
                <a:gd name="adj" fmla="val 43695"/>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sp macro="" textlink="">
          <xdr:nvSpPr>
            <xdr:cNvPr id="107" name="角丸四角形 12">
              <a:extLst>
                <a:ext uri="{FF2B5EF4-FFF2-40B4-BE49-F238E27FC236}">
                  <a16:creationId xmlns:a16="http://schemas.microsoft.com/office/drawing/2014/main" id="{580135E3-40B4-E22D-2097-7E85467332D5}"/>
                </a:ext>
              </a:extLst>
            </xdr:cNvPr>
            <xdr:cNvSpPr/>
          </xdr:nvSpPr>
          <xdr:spPr>
            <a:xfrm>
              <a:off x="4844713" y="72506327"/>
              <a:ext cx="144000" cy="28800"/>
            </a:xfrm>
            <a:prstGeom prst="round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grpSp>
        <xdr:nvGrpSpPr>
          <xdr:cNvPr id="102" name="グループ化 1259">
            <a:extLst>
              <a:ext uri="{FF2B5EF4-FFF2-40B4-BE49-F238E27FC236}">
                <a16:creationId xmlns:a16="http://schemas.microsoft.com/office/drawing/2014/main" id="{35789CAB-5923-9FA2-E365-07C5B3426F0A}"/>
              </a:ext>
            </a:extLst>
          </xdr:cNvPr>
          <xdr:cNvGrpSpPr/>
        </xdr:nvGrpSpPr>
        <xdr:grpSpPr>
          <a:xfrm rot="5400000">
            <a:off x="5831482" y="72742746"/>
            <a:ext cx="144000" cy="152398"/>
            <a:chOff x="4844713" y="72506327"/>
            <a:chExt cx="144000" cy="152398"/>
          </a:xfrm>
        </xdr:grpSpPr>
        <xdr:sp macro="" textlink="">
          <xdr:nvSpPr>
            <xdr:cNvPr id="104" name="角丸四角形 9">
              <a:extLst>
                <a:ext uri="{FF2B5EF4-FFF2-40B4-BE49-F238E27FC236}">
                  <a16:creationId xmlns:a16="http://schemas.microsoft.com/office/drawing/2014/main" id="{2D2BE758-0A36-9A26-DC41-492223EC3847}"/>
                </a:ext>
              </a:extLst>
            </xdr:cNvPr>
            <xdr:cNvSpPr/>
          </xdr:nvSpPr>
          <xdr:spPr>
            <a:xfrm>
              <a:off x="4844713" y="72510336"/>
              <a:ext cx="144000" cy="148389"/>
            </a:xfrm>
            <a:prstGeom prst="roundRect">
              <a:avLst>
                <a:gd name="adj" fmla="val 43695"/>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sp macro="" textlink="">
          <xdr:nvSpPr>
            <xdr:cNvPr id="105" name="角丸四角形 10">
              <a:extLst>
                <a:ext uri="{FF2B5EF4-FFF2-40B4-BE49-F238E27FC236}">
                  <a16:creationId xmlns:a16="http://schemas.microsoft.com/office/drawing/2014/main" id="{2D91D804-4298-7B5A-5706-FDC04379B1F2}"/>
                </a:ext>
              </a:extLst>
            </xdr:cNvPr>
            <xdr:cNvSpPr/>
          </xdr:nvSpPr>
          <xdr:spPr>
            <a:xfrm>
              <a:off x="4844713" y="72506327"/>
              <a:ext cx="144000" cy="28800"/>
            </a:xfrm>
            <a:prstGeom prst="round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sp macro="" textlink="">
        <xdr:nvSpPr>
          <xdr:cNvPr id="103" name="角丸四角形 8">
            <a:extLst>
              <a:ext uri="{FF2B5EF4-FFF2-40B4-BE49-F238E27FC236}">
                <a16:creationId xmlns:a16="http://schemas.microsoft.com/office/drawing/2014/main" id="{2EABA3BC-5DF6-FA91-FAFD-5D9ACF59A5C3}"/>
              </a:ext>
            </a:extLst>
          </xdr:cNvPr>
          <xdr:cNvSpPr/>
        </xdr:nvSpPr>
        <xdr:spPr>
          <a:xfrm>
            <a:off x="5598691" y="72506302"/>
            <a:ext cx="288000" cy="432000"/>
          </a:xfrm>
          <a:prstGeom prst="roundRect">
            <a:avLst/>
          </a:prstGeom>
          <a:ln w="3175"/>
        </xdr:spPr>
        <xdr:style>
          <a:lnRef idx="2">
            <a:schemeClr val="dk1"/>
          </a:lnRef>
          <a:fillRef idx="1">
            <a:schemeClr val="lt1"/>
          </a:fillRef>
          <a:effectRef idx="0">
            <a:schemeClr val="dk1"/>
          </a:effectRef>
          <a:fontRef idx="minor">
            <a:schemeClr val="dk1"/>
          </a:fontRef>
        </xdr:style>
        <xdr:txBody>
          <a:bodyPr vertOverflow="clip" rtlCol="0" anchor="ctr"/>
          <a:lstStyle/>
          <a:p>
            <a:pPr algn="ctr"/>
            <a:endParaRPr kumimoji="1" lang="ja-JP" altLang="en-US" sz="1100"/>
          </a:p>
        </xdr:txBody>
      </xdr:sp>
    </xdr:grpSp>
    <xdr:clientData/>
  </xdr:twoCellAnchor>
  <xdr:twoCellAnchor>
    <xdr:from>
      <xdr:col>62</xdr:col>
      <xdr:colOff>42335</xdr:colOff>
      <xdr:row>14</xdr:row>
      <xdr:rowOff>138642</xdr:rowOff>
    </xdr:from>
    <xdr:to>
      <xdr:col>62</xdr:col>
      <xdr:colOff>515410</xdr:colOff>
      <xdr:row>16</xdr:row>
      <xdr:rowOff>101600</xdr:rowOff>
    </xdr:to>
    <xdr:sp macro="" textlink="">
      <xdr:nvSpPr>
        <xdr:cNvPr id="113" name="テキスト ボックス 112">
          <a:extLst>
            <a:ext uri="{FF2B5EF4-FFF2-40B4-BE49-F238E27FC236}">
              <a16:creationId xmlns:a16="http://schemas.microsoft.com/office/drawing/2014/main" id="{27AFE5D7-0406-4E19-A0DD-9EFB60C29EC5}"/>
            </a:ext>
          </a:extLst>
        </xdr:cNvPr>
        <xdr:cNvSpPr txBox="1"/>
      </xdr:nvSpPr>
      <xdr:spPr>
        <a:xfrm>
          <a:off x="9491135" y="2509309"/>
          <a:ext cx="473075" cy="301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b="1"/>
            <a:t>物置</a:t>
          </a:r>
          <a:endParaRPr kumimoji="1" lang="en-US" altLang="ja-JP" sz="1100" b="1"/>
        </a:p>
        <a:p>
          <a:endParaRPr kumimoji="1" lang="en-US" altLang="ja-JP" sz="1200" b="1"/>
        </a:p>
        <a:p>
          <a:endParaRPr kumimoji="1" lang="ja-JP" altLang="en-US" sz="1200" b="1"/>
        </a:p>
      </xdr:txBody>
    </xdr:sp>
    <xdr:clientData/>
  </xdr:twoCellAnchor>
  <xdr:twoCellAnchor>
    <xdr:from>
      <xdr:col>66</xdr:col>
      <xdr:colOff>6349</xdr:colOff>
      <xdr:row>17</xdr:row>
      <xdr:rowOff>59266</xdr:rowOff>
    </xdr:from>
    <xdr:to>
      <xdr:col>67</xdr:col>
      <xdr:colOff>10289</xdr:colOff>
      <xdr:row>18</xdr:row>
      <xdr:rowOff>1057</xdr:rowOff>
    </xdr:to>
    <xdr:sp macro="" textlink="">
      <xdr:nvSpPr>
        <xdr:cNvPr id="114" name="フリーフォーム 201">
          <a:extLst>
            <a:ext uri="{FF2B5EF4-FFF2-40B4-BE49-F238E27FC236}">
              <a16:creationId xmlns:a16="http://schemas.microsoft.com/office/drawing/2014/main" id="{EA940051-9B68-4D61-8C6C-034A4878EF55}"/>
            </a:ext>
          </a:extLst>
        </xdr:cNvPr>
        <xdr:cNvSpPr/>
      </xdr:nvSpPr>
      <xdr:spPr bwMode="auto">
        <a:xfrm flipV="1">
          <a:off x="11893549" y="2937933"/>
          <a:ext cx="613540" cy="111124"/>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63</xdr:col>
      <xdr:colOff>245533</xdr:colOff>
      <xdr:row>9</xdr:row>
      <xdr:rowOff>40217</xdr:rowOff>
    </xdr:from>
    <xdr:to>
      <xdr:col>63</xdr:col>
      <xdr:colOff>328083</xdr:colOff>
      <xdr:row>9</xdr:row>
      <xdr:rowOff>110067</xdr:rowOff>
    </xdr:to>
    <xdr:sp macro="" textlink="">
      <xdr:nvSpPr>
        <xdr:cNvPr id="115" name="円/楕円 16">
          <a:extLst>
            <a:ext uri="{FF2B5EF4-FFF2-40B4-BE49-F238E27FC236}">
              <a16:creationId xmlns:a16="http://schemas.microsoft.com/office/drawing/2014/main" id="{65DDA5B4-46F6-4671-A2FA-0114CC6FAE96}"/>
            </a:ext>
          </a:extLst>
        </xdr:cNvPr>
        <xdr:cNvSpPr/>
      </xdr:nvSpPr>
      <xdr:spPr>
        <a:xfrm>
          <a:off x="10303933" y="1564217"/>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253999</xdr:colOff>
      <xdr:row>13</xdr:row>
      <xdr:rowOff>57151</xdr:rowOff>
    </xdr:from>
    <xdr:to>
      <xdr:col>63</xdr:col>
      <xdr:colOff>336549</xdr:colOff>
      <xdr:row>13</xdr:row>
      <xdr:rowOff>127001</xdr:rowOff>
    </xdr:to>
    <xdr:sp macro="" textlink="">
      <xdr:nvSpPr>
        <xdr:cNvPr id="116" name="円/楕円 16">
          <a:extLst>
            <a:ext uri="{FF2B5EF4-FFF2-40B4-BE49-F238E27FC236}">
              <a16:creationId xmlns:a16="http://schemas.microsoft.com/office/drawing/2014/main" id="{9F4EE142-36B1-4B50-AD8A-729DB303FFF8}"/>
            </a:ext>
          </a:extLst>
        </xdr:cNvPr>
        <xdr:cNvSpPr/>
      </xdr:nvSpPr>
      <xdr:spPr>
        <a:xfrm>
          <a:off x="10312399" y="2258484"/>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262466</xdr:colOff>
      <xdr:row>15</xdr:row>
      <xdr:rowOff>57150</xdr:rowOff>
    </xdr:from>
    <xdr:to>
      <xdr:col>63</xdr:col>
      <xdr:colOff>345016</xdr:colOff>
      <xdr:row>15</xdr:row>
      <xdr:rowOff>127000</xdr:rowOff>
    </xdr:to>
    <xdr:sp macro="" textlink="">
      <xdr:nvSpPr>
        <xdr:cNvPr id="117" name="円/楕円 16">
          <a:extLst>
            <a:ext uri="{FF2B5EF4-FFF2-40B4-BE49-F238E27FC236}">
              <a16:creationId xmlns:a16="http://schemas.microsoft.com/office/drawing/2014/main" id="{A9B4F66A-FB1B-46C6-BA41-6F938C6A7474}"/>
            </a:ext>
          </a:extLst>
        </xdr:cNvPr>
        <xdr:cNvSpPr/>
      </xdr:nvSpPr>
      <xdr:spPr>
        <a:xfrm>
          <a:off x="10320866" y="2597150"/>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270933</xdr:colOff>
      <xdr:row>17</xdr:row>
      <xdr:rowOff>48683</xdr:rowOff>
    </xdr:from>
    <xdr:to>
      <xdr:col>63</xdr:col>
      <xdr:colOff>353483</xdr:colOff>
      <xdr:row>17</xdr:row>
      <xdr:rowOff>118533</xdr:rowOff>
    </xdr:to>
    <xdr:sp macro="" textlink="">
      <xdr:nvSpPr>
        <xdr:cNvPr id="118" name="円/楕円 16">
          <a:extLst>
            <a:ext uri="{FF2B5EF4-FFF2-40B4-BE49-F238E27FC236}">
              <a16:creationId xmlns:a16="http://schemas.microsoft.com/office/drawing/2014/main" id="{089C855C-54FB-4FD5-BCE3-07593CA0281B}"/>
            </a:ext>
          </a:extLst>
        </xdr:cNvPr>
        <xdr:cNvSpPr/>
      </xdr:nvSpPr>
      <xdr:spPr>
        <a:xfrm>
          <a:off x="10329333" y="2927350"/>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296332</xdr:colOff>
      <xdr:row>19</xdr:row>
      <xdr:rowOff>40217</xdr:rowOff>
    </xdr:from>
    <xdr:to>
      <xdr:col>63</xdr:col>
      <xdr:colOff>378882</xdr:colOff>
      <xdr:row>19</xdr:row>
      <xdr:rowOff>110067</xdr:rowOff>
    </xdr:to>
    <xdr:sp macro="" textlink="">
      <xdr:nvSpPr>
        <xdr:cNvPr id="119" name="円/楕円 16">
          <a:extLst>
            <a:ext uri="{FF2B5EF4-FFF2-40B4-BE49-F238E27FC236}">
              <a16:creationId xmlns:a16="http://schemas.microsoft.com/office/drawing/2014/main" id="{36174B76-4A4F-4876-B481-808A2873F7BD}"/>
            </a:ext>
          </a:extLst>
        </xdr:cNvPr>
        <xdr:cNvSpPr/>
      </xdr:nvSpPr>
      <xdr:spPr>
        <a:xfrm>
          <a:off x="10354732" y="3257550"/>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296333</xdr:colOff>
      <xdr:row>21</xdr:row>
      <xdr:rowOff>57151</xdr:rowOff>
    </xdr:from>
    <xdr:to>
      <xdr:col>63</xdr:col>
      <xdr:colOff>378883</xdr:colOff>
      <xdr:row>21</xdr:row>
      <xdr:rowOff>127001</xdr:rowOff>
    </xdr:to>
    <xdr:sp macro="" textlink="">
      <xdr:nvSpPr>
        <xdr:cNvPr id="120" name="円/楕円 16">
          <a:extLst>
            <a:ext uri="{FF2B5EF4-FFF2-40B4-BE49-F238E27FC236}">
              <a16:creationId xmlns:a16="http://schemas.microsoft.com/office/drawing/2014/main" id="{52B0BBDB-EED6-41AA-9078-1743C3FA3F4A}"/>
            </a:ext>
          </a:extLst>
        </xdr:cNvPr>
        <xdr:cNvSpPr/>
      </xdr:nvSpPr>
      <xdr:spPr>
        <a:xfrm>
          <a:off x="10354733" y="3613151"/>
          <a:ext cx="82550" cy="69850"/>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192920</xdr:colOff>
      <xdr:row>26</xdr:row>
      <xdr:rowOff>87992</xdr:rowOff>
    </xdr:from>
    <xdr:to>
      <xdr:col>64</xdr:col>
      <xdr:colOff>206526</xdr:colOff>
      <xdr:row>26</xdr:row>
      <xdr:rowOff>87992</xdr:rowOff>
    </xdr:to>
    <xdr:cxnSp macro="">
      <xdr:nvCxnSpPr>
        <xdr:cNvPr id="121" name="直線コネクタ 120">
          <a:extLst>
            <a:ext uri="{FF2B5EF4-FFF2-40B4-BE49-F238E27FC236}">
              <a16:creationId xmlns:a16="http://schemas.microsoft.com/office/drawing/2014/main" id="{3488D398-B358-4BDD-811A-B7DA1199325E}"/>
            </a:ext>
          </a:extLst>
        </xdr:cNvPr>
        <xdr:cNvCxnSpPr/>
      </xdr:nvCxnSpPr>
      <xdr:spPr>
        <a:xfrm>
          <a:off x="9641720" y="4490659"/>
          <a:ext cx="1232806" cy="0"/>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563879</xdr:colOff>
      <xdr:row>15</xdr:row>
      <xdr:rowOff>118370</xdr:rowOff>
    </xdr:from>
    <xdr:to>
      <xdr:col>65</xdr:col>
      <xdr:colOff>321734</xdr:colOff>
      <xdr:row>17</xdr:row>
      <xdr:rowOff>67733</xdr:rowOff>
    </xdr:to>
    <xdr:sp macro="" textlink="">
      <xdr:nvSpPr>
        <xdr:cNvPr id="123" name="テキスト ボックス 122">
          <a:extLst>
            <a:ext uri="{FF2B5EF4-FFF2-40B4-BE49-F238E27FC236}">
              <a16:creationId xmlns:a16="http://schemas.microsoft.com/office/drawing/2014/main" id="{01C64ECA-151A-4214-9904-5BD69B2FD0A9}"/>
            </a:ext>
          </a:extLst>
        </xdr:cNvPr>
        <xdr:cNvSpPr txBox="1"/>
      </xdr:nvSpPr>
      <xdr:spPr>
        <a:xfrm>
          <a:off x="11231879" y="2658370"/>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②</a:t>
          </a:r>
        </a:p>
      </xdr:txBody>
    </xdr:sp>
    <xdr:clientData/>
  </xdr:twoCellAnchor>
  <xdr:twoCellAnchor>
    <xdr:from>
      <xdr:col>64</xdr:col>
      <xdr:colOff>572346</xdr:colOff>
      <xdr:row>17</xdr:row>
      <xdr:rowOff>101437</xdr:rowOff>
    </xdr:from>
    <xdr:to>
      <xdr:col>65</xdr:col>
      <xdr:colOff>330201</xdr:colOff>
      <xdr:row>19</xdr:row>
      <xdr:rowOff>50801</xdr:rowOff>
    </xdr:to>
    <xdr:sp macro="" textlink="">
      <xdr:nvSpPr>
        <xdr:cNvPr id="124" name="テキスト ボックス 123">
          <a:extLst>
            <a:ext uri="{FF2B5EF4-FFF2-40B4-BE49-F238E27FC236}">
              <a16:creationId xmlns:a16="http://schemas.microsoft.com/office/drawing/2014/main" id="{12617B7A-A0BF-4428-A150-D663B2607050}"/>
            </a:ext>
          </a:extLst>
        </xdr:cNvPr>
        <xdr:cNvSpPr txBox="1"/>
      </xdr:nvSpPr>
      <xdr:spPr>
        <a:xfrm>
          <a:off x="11240346" y="2980104"/>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③</a:t>
          </a:r>
        </a:p>
      </xdr:txBody>
    </xdr:sp>
    <xdr:clientData/>
  </xdr:twoCellAnchor>
  <xdr:twoCellAnchor>
    <xdr:from>
      <xdr:col>64</xdr:col>
      <xdr:colOff>572346</xdr:colOff>
      <xdr:row>19</xdr:row>
      <xdr:rowOff>109905</xdr:rowOff>
    </xdr:from>
    <xdr:to>
      <xdr:col>65</xdr:col>
      <xdr:colOff>330201</xdr:colOff>
      <xdr:row>21</xdr:row>
      <xdr:rowOff>59268</xdr:rowOff>
    </xdr:to>
    <xdr:sp macro="" textlink="">
      <xdr:nvSpPr>
        <xdr:cNvPr id="125" name="テキスト ボックス 124">
          <a:extLst>
            <a:ext uri="{FF2B5EF4-FFF2-40B4-BE49-F238E27FC236}">
              <a16:creationId xmlns:a16="http://schemas.microsoft.com/office/drawing/2014/main" id="{800FF180-70F0-43DB-BC47-9A3D9345BA20}"/>
            </a:ext>
          </a:extLst>
        </xdr:cNvPr>
        <xdr:cNvSpPr txBox="1"/>
      </xdr:nvSpPr>
      <xdr:spPr>
        <a:xfrm>
          <a:off x="11240346" y="3327238"/>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④</a:t>
          </a:r>
        </a:p>
      </xdr:txBody>
    </xdr:sp>
    <xdr:clientData/>
  </xdr:twoCellAnchor>
  <xdr:twoCellAnchor>
    <xdr:from>
      <xdr:col>64</xdr:col>
      <xdr:colOff>572346</xdr:colOff>
      <xdr:row>21</xdr:row>
      <xdr:rowOff>118371</xdr:rowOff>
    </xdr:from>
    <xdr:to>
      <xdr:col>65</xdr:col>
      <xdr:colOff>330201</xdr:colOff>
      <xdr:row>23</xdr:row>
      <xdr:rowOff>67734</xdr:rowOff>
    </xdr:to>
    <xdr:sp macro="" textlink="">
      <xdr:nvSpPr>
        <xdr:cNvPr id="126" name="テキスト ボックス 125">
          <a:extLst>
            <a:ext uri="{FF2B5EF4-FFF2-40B4-BE49-F238E27FC236}">
              <a16:creationId xmlns:a16="http://schemas.microsoft.com/office/drawing/2014/main" id="{A3487A87-FBF2-4B17-BD68-B54A876BF44A}"/>
            </a:ext>
          </a:extLst>
        </xdr:cNvPr>
        <xdr:cNvSpPr txBox="1"/>
      </xdr:nvSpPr>
      <xdr:spPr>
        <a:xfrm>
          <a:off x="11240346" y="3674371"/>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⑤</a:t>
          </a:r>
        </a:p>
      </xdr:txBody>
    </xdr:sp>
    <xdr:clientData/>
  </xdr:twoCellAnchor>
  <xdr:twoCellAnchor>
    <xdr:from>
      <xdr:col>64</xdr:col>
      <xdr:colOff>572346</xdr:colOff>
      <xdr:row>23</xdr:row>
      <xdr:rowOff>109904</xdr:rowOff>
    </xdr:from>
    <xdr:to>
      <xdr:col>65</xdr:col>
      <xdr:colOff>330201</xdr:colOff>
      <xdr:row>25</xdr:row>
      <xdr:rowOff>59268</xdr:rowOff>
    </xdr:to>
    <xdr:sp macro="" textlink="">
      <xdr:nvSpPr>
        <xdr:cNvPr id="127" name="テキスト ボックス 126">
          <a:extLst>
            <a:ext uri="{FF2B5EF4-FFF2-40B4-BE49-F238E27FC236}">
              <a16:creationId xmlns:a16="http://schemas.microsoft.com/office/drawing/2014/main" id="{17CFF07B-A1CC-4CB1-BAFF-7F4EBA22805B}"/>
            </a:ext>
          </a:extLst>
        </xdr:cNvPr>
        <xdr:cNvSpPr txBox="1"/>
      </xdr:nvSpPr>
      <xdr:spPr>
        <a:xfrm>
          <a:off x="11240346" y="4004571"/>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⑥</a:t>
          </a:r>
        </a:p>
      </xdr:txBody>
    </xdr:sp>
    <xdr:clientData/>
  </xdr:twoCellAnchor>
  <xdr:twoCellAnchor>
    <xdr:from>
      <xdr:col>64</xdr:col>
      <xdr:colOff>580814</xdr:colOff>
      <xdr:row>25</xdr:row>
      <xdr:rowOff>126838</xdr:rowOff>
    </xdr:from>
    <xdr:to>
      <xdr:col>65</xdr:col>
      <xdr:colOff>338669</xdr:colOff>
      <xdr:row>27</xdr:row>
      <xdr:rowOff>76201</xdr:rowOff>
    </xdr:to>
    <xdr:sp macro="" textlink="">
      <xdr:nvSpPr>
        <xdr:cNvPr id="128" name="テキスト ボックス 127">
          <a:extLst>
            <a:ext uri="{FF2B5EF4-FFF2-40B4-BE49-F238E27FC236}">
              <a16:creationId xmlns:a16="http://schemas.microsoft.com/office/drawing/2014/main" id="{C56BFB1E-E089-47B0-AC8F-D975423704F9}"/>
            </a:ext>
          </a:extLst>
        </xdr:cNvPr>
        <xdr:cNvSpPr txBox="1"/>
      </xdr:nvSpPr>
      <xdr:spPr>
        <a:xfrm>
          <a:off x="11248814" y="4360171"/>
          <a:ext cx="367455" cy="28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200" b="1"/>
            <a:t>⑦</a:t>
          </a:r>
        </a:p>
      </xdr:txBody>
    </xdr:sp>
    <xdr:clientData/>
  </xdr:twoCellAnchor>
  <xdr:twoCellAnchor>
    <xdr:from>
      <xdr:col>68</xdr:col>
      <xdr:colOff>315114</xdr:colOff>
      <xdr:row>9</xdr:row>
      <xdr:rowOff>102136</xdr:rowOff>
    </xdr:from>
    <xdr:to>
      <xdr:col>68</xdr:col>
      <xdr:colOff>381791</xdr:colOff>
      <xdr:row>13</xdr:row>
      <xdr:rowOff>70245</xdr:rowOff>
    </xdr:to>
    <xdr:grpSp>
      <xdr:nvGrpSpPr>
        <xdr:cNvPr id="129" name="グループ化 128">
          <a:extLst>
            <a:ext uri="{FF2B5EF4-FFF2-40B4-BE49-F238E27FC236}">
              <a16:creationId xmlns:a16="http://schemas.microsoft.com/office/drawing/2014/main" id="{BE12B3FB-B812-45BB-90F4-15F2A01C9881}"/>
            </a:ext>
          </a:extLst>
        </xdr:cNvPr>
        <xdr:cNvGrpSpPr/>
      </xdr:nvGrpSpPr>
      <xdr:grpSpPr>
        <a:xfrm rot="16200000" flipV="1">
          <a:off x="13096148" y="1886415"/>
          <a:ext cx="634859" cy="66677"/>
          <a:chOff x="6858000" y="4124324"/>
          <a:chExt cx="762000" cy="132159"/>
        </a:xfrm>
      </xdr:grpSpPr>
      <xdr:sp macro="" textlink="">
        <xdr:nvSpPr>
          <xdr:cNvPr id="130" name="正方形/長方形 129">
            <a:extLst>
              <a:ext uri="{FF2B5EF4-FFF2-40B4-BE49-F238E27FC236}">
                <a16:creationId xmlns:a16="http://schemas.microsoft.com/office/drawing/2014/main" id="{EFDC30D1-0C05-4EAF-B802-43BE72636145}"/>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131" name="直線 2166">
            <a:extLst>
              <a:ext uri="{FF2B5EF4-FFF2-40B4-BE49-F238E27FC236}">
                <a16:creationId xmlns:a16="http://schemas.microsoft.com/office/drawing/2014/main" id="{311BA2ED-F0CF-B01D-21F6-195EBF937F0B}"/>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32" name="直線 2167">
            <a:extLst>
              <a:ext uri="{FF2B5EF4-FFF2-40B4-BE49-F238E27FC236}">
                <a16:creationId xmlns:a16="http://schemas.microsoft.com/office/drawing/2014/main" id="{17A8091C-2494-51A2-ADBE-15FD70A552B8}"/>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33" name="直線 2167">
            <a:extLst>
              <a:ext uri="{FF2B5EF4-FFF2-40B4-BE49-F238E27FC236}">
                <a16:creationId xmlns:a16="http://schemas.microsoft.com/office/drawing/2014/main" id="{15A2BC92-A4B1-7744-A537-163AFF52405A}"/>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65</xdr:col>
      <xdr:colOff>608145</xdr:colOff>
      <xdr:row>14</xdr:row>
      <xdr:rowOff>31351</xdr:rowOff>
    </xdr:from>
    <xdr:to>
      <xdr:col>66</xdr:col>
      <xdr:colOff>595436</xdr:colOff>
      <xdr:row>14</xdr:row>
      <xdr:rowOff>127000</xdr:rowOff>
    </xdr:to>
    <xdr:grpSp>
      <xdr:nvGrpSpPr>
        <xdr:cNvPr id="134" name="グループ化 133">
          <a:extLst>
            <a:ext uri="{FF2B5EF4-FFF2-40B4-BE49-F238E27FC236}">
              <a16:creationId xmlns:a16="http://schemas.microsoft.com/office/drawing/2014/main" id="{DF0AA1F2-5657-4EB2-B1EF-3267F7C62121}"/>
            </a:ext>
          </a:extLst>
        </xdr:cNvPr>
        <xdr:cNvGrpSpPr/>
      </xdr:nvGrpSpPr>
      <xdr:grpSpPr>
        <a:xfrm rot="10800000" flipV="1">
          <a:off x="11815895" y="2364976"/>
          <a:ext cx="606416" cy="95649"/>
          <a:chOff x="6858000" y="4124324"/>
          <a:chExt cx="762000" cy="132159"/>
        </a:xfrm>
      </xdr:grpSpPr>
      <xdr:sp macro="" textlink="">
        <xdr:nvSpPr>
          <xdr:cNvPr id="135" name="正方形/長方形 134">
            <a:extLst>
              <a:ext uri="{FF2B5EF4-FFF2-40B4-BE49-F238E27FC236}">
                <a16:creationId xmlns:a16="http://schemas.microsoft.com/office/drawing/2014/main" id="{03A537B5-43FC-04A6-21E8-0EE5BF7CB06A}"/>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136" name="直線 2166">
            <a:extLst>
              <a:ext uri="{FF2B5EF4-FFF2-40B4-BE49-F238E27FC236}">
                <a16:creationId xmlns:a16="http://schemas.microsoft.com/office/drawing/2014/main" id="{19F30AFB-610B-F84D-2A53-0AEC68E71BDA}"/>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37" name="直線 2167">
            <a:extLst>
              <a:ext uri="{FF2B5EF4-FFF2-40B4-BE49-F238E27FC236}">
                <a16:creationId xmlns:a16="http://schemas.microsoft.com/office/drawing/2014/main" id="{6DA71394-37D6-7247-7906-8F93050C0193}"/>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38" name="直線 2167">
            <a:extLst>
              <a:ext uri="{FF2B5EF4-FFF2-40B4-BE49-F238E27FC236}">
                <a16:creationId xmlns:a16="http://schemas.microsoft.com/office/drawing/2014/main" id="{11B2BBB9-3B35-A190-9968-01EB765CF9A0}"/>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66</xdr:col>
      <xdr:colOff>6349</xdr:colOff>
      <xdr:row>19</xdr:row>
      <xdr:rowOff>64347</xdr:rowOff>
    </xdr:from>
    <xdr:to>
      <xdr:col>67</xdr:col>
      <xdr:colOff>10289</xdr:colOff>
      <xdr:row>20</xdr:row>
      <xdr:rowOff>6137</xdr:rowOff>
    </xdr:to>
    <xdr:sp macro="" textlink="">
      <xdr:nvSpPr>
        <xdr:cNvPr id="139" name="フリーフォーム 201">
          <a:extLst>
            <a:ext uri="{FF2B5EF4-FFF2-40B4-BE49-F238E27FC236}">
              <a16:creationId xmlns:a16="http://schemas.microsoft.com/office/drawing/2014/main" id="{F558E0E4-4D6B-4F69-ACDA-FA89579A2810}"/>
            </a:ext>
          </a:extLst>
        </xdr:cNvPr>
        <xdr:cNvSpPr/>
      </xdr:nvSpPr>
      <xdr:spPr bwMode="auto">
        <a:xfrm flipV="1">
          <a:off x="11893549" y="3281680"/>
          <a:ext cx="613540" cy="111124"/>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66</xdr:col>
      <xdr:colOff>14816</xdr:colOff>
      <xdr:row>21</xdr:row>
      <xdr:rowOff>47414</xdr:rowOff>
    </xdr:from>
    <xdr:to>
      <xdr:col>67</xdr:col>
      <xdr:colOff>18756</xdr:colOff>
      <xdr:row>21</xdr:row>
      <xdr:rowOff>158538</xdr:rowOff>
    </xdr:to>
    <xdr:sp macro="" textlink="">
      <xdr:nvSpPr>
        <xdr:cNvPr id="140" name="フリーフォーム 201">
          <a:extLst>
            <a:ext uri="{FF2B5EF4-FFF2-40B4-BE49-F238E27FC236}">
              <a16:creationId xmlns:a16="http://schemas.microsoft.com/office/drawing/2014/main" id="{0D6F3DC1-D703-4713-AC9D-A60093C3716F}"/>
            </a:ext>
          </a:extLst>
        </xdr:cNvPr>
        <xdr:cNvSpPr/>
      </xdr:nvSpPr>
      <xdr:spPr bwMode="auto">
        <a:xfrm flipV="1">
          <a:off x="11902016" y="3603414"/>
          <a:ext cx="613540" cy="111124"/>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65</xdr:col>
      <xdr:colOff>582083</xdr:colOff>
      <xdr:row>23</xdr:row>
      <xdr:rowOff>55880</xdr:rowOff>
    </xdr:from>
    <xdr:to>
      <xdr:col>66</xdr:col>
      <xdr:colOff>586023</xdr:colOff>
      <xdr:row>23</xdr:row>
      <xdr:rowOff>167004</xdr:rowOff>
    </xdr:to>
    <xdr:sp macro="" textlink="">
      <xdr:nvSpPr>
        <xdr:cNvPr id="141" name="フリーフォーム 201">
          <a:extLst>
            <a:ext uri="{FF2B5EF4-FFF2-40B4-BE49-F238E27FC236}">
              <a16:creationId xmlns:a16="http://schemas.microsoft.com/office/drawing/2014/main" id="{696504E1-613F-4B11-873B-ECF9F85F07F6}"/>
            </a:ext>
          </a:extLst>
        </xdr:cNvPr>
        <xdr:cNvSpPr/>
      </xdr:nvSpPr>
      <xdr:spPr bwMode="auto">
        <a:xfrm flipV="1">
          <a:off x="11859683" y="3950547"/>
          <a:ext cx="613540" cy="111124"/>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62</xdr:col>
      <xdr:colOff>429089</xdr:colOff>
      <xdr:row>33</xdr:row>
      <xdr:rowOff>10748</xdr:rowOff>
    </xdr:from>
    <xdr:to>
      <xdr:col>62</xdr:col>
      <xdr:colOff>430742</xdr:colOff>
      <xdr:row>36</xdr:row>
      <xdr:rowOff>125942</xdr:rowOff>
    </xdr:to>
    <xdr:cxnSp macro="">
      <xdr:nvCxnSpPr>
        <xdr:cNvPr id="142" name="直線コネクタ 141">
          <a:extLst>
            <a:ext uri="{FF2B5EF4-FFF2-40B4-BE49-F238E27FC236}">
              <a16:creationId xmlns:a16="http://schemas.microsoft.com/office/drawing/2014/main" id="{43D5860A-2D18-4B7F-B5DA-77007ADB18DA}"/>
            </a:ext>
          </a:extLst>
        </xdr:cNvPr>
        <xdr:cNvCxnSpPr/>
      </xdr:nvCxnSpPr>
      <xdr:spPr>
        <a:xfrm>
          <a:off x="9877889" y="5598748"/>
          <a:ext cx="1653" cy="64012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62</xdr:col>
      <xdr:colOff>589956</xdr:colOff>
      <xdr:row>33</xdr:row>
      <xdr:rowOff>2281</xdr:rowOff>
    </xdr:from>
    <xdr:to>
      <xdr:col>62</xdr:col>
      <xdr:colOff>591609</xdr:colOff>
      <xdr:row>36</xdr:row>
      <xdr:rowOff>117475</xdr:rowOff>
    </xdr:to>
    <xdr:cxnSp macro="">
      <xdr:nvCxnSpPr>
        <xdr:cNvPr id="143" name="直線コネクタ 142">
          <a:extLst>
            <a:ext uri="{FF2B5EF4-FFF2-40B4-BE49-F238E27FC236}">
              <a16:creationId xmlns:a16="http://schemas.microsoft.com/office/drawing/2014/main" id="{6BFFF88C-0441-42EA-A267-5708BD8E7A4F}"/>
            </a:ext>
          </a:extLst>
        </xdr:cNvPr>
        <xdr:cNvCxnSpPr/>
      </xdr:nvCxnSpPr>
      <xdr:spPr>
        <a:xfrm>
          <a:off x="10038756" y="5590281"/>
          <a:ext cx="1653" cy="64012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132756</xdr:colOff>
      <xdr:row>33</xdr:row>
      <xdr:rowOff>10744</xdr:rowOff>
    </xdr:from>
    <xdr:to>
      <xdr:col>63</xdr:col>
      <xdr:colOff>134409</xdr:colOff>
      <xdr:row>36</xdr:row>
      <xdr:rowOff>125938</xdr:rowOff>
    </xdr:to>
    <xdr:cxnSp macro="">
      <xdr:nvCxnSpPr>
        <xdr:cNvPr id="144" name="直線コネクタ 143">
          <a:extLst>
            <a:ext uri="{FF2B5EF4-FFF2-40B4-BE49-F238E27FC236}">
              <a16:creationId xmlns:a16="http://schemas.microsoft.com/office/drawing/2014/main" id="{013A061A-6A04-489A-A51A-15C7FADC6C76}"/>
            </a:ext>
          </a:extLst>
        </xdr:cNvPr>
        <xdr:cNvCxnSpPr/>
      </xdr:nvCxnSpPr>
      <xdr:spPr>
        <a:xfrm>
          <a:off x="10191156" y="5598744"/>
          <a:ext cx="1653" cy="64012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285156</xdr:colOff>
      <xdr:row>33</xdr:row>
      <xdr:rowOff>19205</xdr:rowOff>
    </xdr:from>
    <xdr:to>
      <xdr:col>63</xdr:col>
      <xdr:colOff>286809</xdr:colOff>
      <xdr:row>36</xdr:row>
      <xdr:rowOff>134399</xdr:rowOff>
    </xdr:to>
    <xdr:cxnSp macro="">
      <xdr:nvCxnSpPr>
        <xdr:cNvPr id="145" name="直線コネクタ 144">
          <a:extLst>
            <a:ext uri="{FF2B5EF4-FFF2-40B4-BE49-F238E27FC236}">
              <a16:creationId xmlns:a16="http://schemas.microsoft.com/office/drawing/2014/main" id="{4FC63CE5-5F1B-4C20-8150-45010A3A7152}"/>
            </a:ext>
          </a:extLst>
        </xdr:cNvPr>
        <xdr:cNvCxnSpPr/>
      </xdr:nvCxnSpPr>
      <xdr:spPr>
        <a:xfrm>
          <a:off x="10343556" y="5607205"/>
          <a:ext cx="1653" cy="640127"/>
        </a:xfrm>
        <a:prstGeom prst="line">
          <a:avLst/>
        </a:prstGeom>
        <a:ln w="571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12696</xdr:colOff>
      <xdr:row>4</xdr:row>
      <xdr:rowOff>168275</xdr:rowOff>
    </xdr:from>
    <xdr:to>
      <xdr:col>65</xdr:col>
      <xdr:colOff>313266</xdr:colOff>
      <xdr:row>7</xdr:row>
      <xdr:rowOff>25400</xdr:rowOff>
    </xdr:to>
    <xdr:grpSp>
      <xdr:nvGrpSpPr>
        <xdr:cNvPr id="2" name="グループ化 65">
          <a:extLst>
            <a:ext uri="{FF2B5EF4-FFF2-40B4-BE49-F238E27FC236}">
              <a16:creationId xmlns:a16="http://schemas.microsoft.com/office/drawing/2014/main" id="{649C8ACF-787F-447F-ADCD-1255A8BF39A1}"/>
            </a:ext>
          </a:extLst>
        </xdr:cNvPr>
        <xdr:cNvGrpSpPr>
          <a:grpSpLocks/>
        </xdr:cNvGrpSpPr>
      </xdr:nvGrpSpPr>
      <xdr:grpSpPr bwMode="auto">
        <a:xfrm>
          <a:off x="11220446" y="828675"/>
          <a:ext cx="300570" cy="363538"/>
          <a:chOff x="4775309" y="5104087"/>
          <a:chExt cx="394468" cy="403992"/>
        </a:xfrm>
      </xdr:grpSpPr>
      <xdr:cxnSp macro="">
        <xdr:nvCxnSpPr>
          <xdr:cNvPr id="4" name="直線コネクタ 66">
            <a:extLst>
              <a:ext uri="{FF2B5EF4-FFF2-40B4-BE49-F238E27FC236}">
                <a16:creationId xmlns:a16="http://schemas.microsoft.com/office/drawing/2014/main" id="{78C4633A-D87D-1171-A54B-E5A6DE3601C2}"/>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2" name="円弧 63">
            <a:extLst>
              <a:ext uri="{FF2B5EF4-FFF2-40B4-BE49-F238E27FC236}">
                <a16:creationId xmlns:a16="http://schemas.microsoft.com/office/drawing/2014/main" id="{9292819F-B777-C773-7298-6C6281D0ECB2}"/>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14" name="直線コネクタ 68">
            <a:extLst>
              <a:ext uri="{FF2B5EF4-FFF2-40B4-BE49-F238E27FC236}">
                <a16:creationId xmlns:a16="http://schemas.microsoft.com/office/drawing/2014/main" id="{F0FCE2E4-3C84-6A86-D13D-9FE2DA42B17E}"/>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65</xdr:col>
      <xdr:colOff>12695</xdr:colOff>
      <xdr:row>8</xdr:row>
      <xdr:rowOff>24340</xdr:rowOff>
    </xdr:from>
    <xdr:to>
      <xdr:col>65</xdr:col>
      <xdr:colOff>313265</xdr:colOff>
      <xdr:row>10</xdr:row>
      <xdr:rowOff>50799</xdr:rowOff>
    </xdr:to>
    <xdr:grpSp>
      <xdr:nvGrpSpPr>
        <xdr:cNvPr id="22" name="グループ化 65">
          <a:extLst>
            <a:ext uri="{FF2B5EF4-FFF2-40B4-BE49-F238E27FC236}">
              <a16:creationId xmlns:a16="http://schemas.microsoft.com/office/drawing/2014/main" id="{05B11D12-1724-4579-B686-72685F2C2FF3}"/>
            </a:ext>
          </a:extLst>
        </xdr:cNvPr>
        <xdr:cNvGrpSpPr>
          <a:grpSpLocks/>
        </xdr:cNvGrpSpPr>
      </xdr:nvGrpSpPr>
      <xdr:grpSpPr bwMode="auto">
        <a:xfrm>
          <a:off x="11220445" y="1357840"/>
          <a:ext cx="300570" cy="359834"/>
          <a:chOff x="4775309" y="5104087"/>
          <a:chExt cx="394468" cy="403992"/>
        </a:xfrm>
      </xdr:grpSpPr>
      <xdr:cxnSp macro="">
        <xdr:nvCxnSpPr>
          <xdr:cNvPr id="26" name="直線コネクタ 66">
            <a:extLst>
              <a:ext uri="{FF2B5EF4-FFF2-40B4-BE49-F238E27FC236}">
                <a16:creationId xmlns:a16="http://schemas.microsoft.com/office/drawing/2014/main" id="{703336AA-B3AE-035B-EB67-A9EE54080130}"/>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27" name="円弧 63">
            <a:extLst>
              <a:ext uri="{FF2B5EF4-FFF2-40B4-BE49-F238E27FC236}">
                <a16:creationId xmlns:a16="http://schemas.microsoft.com/office/drawing/2014/main" id="{EABE7B20-90D2-B140-9811-F2169072E5BA}"/>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28" name="直線コネクタ 68">
            <a:extLst>
              <a:ext uri="{FF2B5EF4-FFF2-40B4-BE49-F238E27FC236}">
                <a16:creationId xmlns:a16="http://schemas.microsoft.com/office/drawing/2014/main" id="{F76EAEEE-DDFA-1A73-2D73-0DD843FB3C89}"/>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65</xdr:col>
      <xdr:colOff>12694</xdr:colOff>
      <xdr:row>10</xdr:row>
      <xdr:rowOff>168274</xdr:rowOff>
    </xdr:from>
    <xdr:to>
      <xdr:col>65</xdr:col>
      <xdr:colOff>313264</xdr:colOff>
      <xdr:row>13</xdr:row>
      <xdr:rowOff>25399</xdr:rowOff>
    </xdr:to>
    <xdr:grpSp>
      <xdr:nvGrpSpPr>
        <xdr:cNvPr id="29" name="グループ化 65">
          <a:extLst>
            <a:ext uri="{FF2B5EF4-FFF2-40B4-BE49-F238E27FC236}">
              <a16:creationId xmlns:a16="http://schemas.microsoft.com/office/drawing/2014/main" id="{144F17BE-C6C5-4AF5-9461-31FB48187982}"/>
            </a:ext>
          </a:extLst>
        </xdr:cNvPr>
        <xdr:cNvGrpSpPr>
          <a:grpSpLocks/>
        </xdr:cNvGrpSpPr>
      </xdr:nvGrpSpPr>
      <xdr:grpSpPr bwMode="auto">
        <a:xfrm>
          <a:off x="11220444" y="1835149"/>
          <a:ext cx="300570" cy="357188"/>
          <a:chOff x="4775309" y="5104087"/>
          <a:chExt cx="394468" cy="403992"/>
        </a:xfrm>
      </xdr:grpSpPr>
      <xdr:cxnSp macro="">
        <xdr:nvCxnSpPr>
          <xdr:cNvPr id="30" name="直線コネクタ 66">
            <a:extLst>
              <a:ext uri="{FF2B5EF4-FFF2-40B4-BE49-F238E27FC236}">
                <a16:creationId xmlns:a16="http://schemas.microsoft.com/office/drawing/2014/main" id="{CFAA32EE-43BE-4D34-2F08-E7C390970839}"/>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68" name="円弧 63">
            <a:extLst>
              <a:ext uri="{FF2B5EF4-FFF2-40B4-BE49-F238E27FC236}">
                <a16:creationId xmlns:a16="http://schemas.microsoft.com/office/drawing/2014/main" id="{0B52B10D-0E44-D97C-7259-169C2F092F74}"/>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112" name="直線コネクタ 68">
            <a:extLst>
              <a:ext uri="{FF2B5EF4-FFF2-40B4-BE49-F238E27FC236}">
                <a16:creationId xmlns:a16="http://schemas.microsoft.com/office/drawing/2014/main" id="{1524E33D-EDDB-C57D-F93B-D07242760243}"/>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66</xdr:col>
      <xdr:colOff>102203</xdr:colOff>
      <xdr:row>11</xdr:row>
      <xdr:rowOff>46212</xdr:rowOff>
    </xdr:from>
    <xdr:to>
      <xdr:col>66</xdr:col>
      <xdr:colOff>508118</xdr:colOff>
      <xdr:row>11</xdr:row>
      <xdr:rowOff>118212</xdr:rowOff>
    </xdr:to>
    <xdr:grpSp>
      <xdr:nvGrpSpPr>
        <xdr:cNvPr id="52" name="グループ化 51">
          <a:extLst>
            <a:ext uri="{FF2B5EF4-FFF2-40B4-BE49-F238E27FC236}">
              <a16:creationId xmlns:a16="http://schemas.microsoft.com/office/drawing/2014/main" id="{743F487A-3D74-4ECE-9065-B4BC890D737C}"/>
            </a:ext>
          </a:extLst>
        </xdr:cNvPr>
        <xdr:cNvGrpSpPr/>
      </xdr:nvGrpSpPr>
      <xdr:grpSpPr>
        <a:xfrm>
          <a:off x="11929078" y="1879775"/>
          <a:ext cx="405915" cy="72000"/>
          <a:chOff x="12032946" y="1744383"/>
          <a:chExt cx="405915" cy="72000"/>
        </a:xfrm>
      </xdr:grpSpPr>
      <xdr:sp macro="" textlink="">
        <xdr:nvSpPr>
          <xdr:cNvPr id="53" name="直線 2166">
            <a:extLst>
              <a:ext uri="{FF2B5EF4-FFF2-40B4-BE49-F238E27FC236}">
                <a16:creationId xmlns:a16="http://schemas.microsoft.com/office/drawing/2014/main" id="{41AB8BEB-DE82-4905-15A0-E9C1794FDB1F}"/>
              </a:ext>
            </a:extLst>
          </xdr:cNvPr>
          <xdr:cNvSpPr>
            <a:spLocks noChangeShapeType="1"/>
          </xdr:cNvSpPr>
        </xdr:nvSpPr>
        <xdr:spPr bwMode="auto">
          <a:xfrm rot="10800000" flipV="1">
            <a:off x="12233099" y="1744383"/>
            <a:ext cx="0" cy="7200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54" name="直線 2167">
            <a:extLst>
              <a:ext uri="{FF2B5EF4-FFF2-40B4-BE49-F238E27FC236}">
                <a16:creationId xmlns:a16="http://schemas.microsoft.com/office/drawing/2014/main" id="{4C7E760F-9EBA-9945-2643-FFE29533498E}"/>
              </a:ext>
            </a:extLst>
          </xdr:cNvPr>
          <xdr:cNvSpPr>
            <a:spLocks noChangeShapeType="1"/>
          </xdr:cNvSpPr>
        </xdr:nvSpPr>
        <xdr:spPr bwMode="auto">
          <a:xfrm rot="10800000" flipH="1" flipV="1">
            <a:off x="12205540" y="1776438"/>
            <a:ext cx="233321"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64" name="直線 2167">
            <a:extLst>
              <a:ext uri="{FF2B5EF4-FFF2-40B4-BE49-F238E27FC236}">
                <a16:creationId xmlns:a16="http://schemas.microsoft.com/office/drawing/2014/main" id="{21718FA8-3720-3AF7-0968-0BED4B5D87F7}"/>
              </a:ext>
            </a:extLst>
          </xdr:cNvPr>
          <xdr:cNvSpPr>
            <a:spLocks noChangeShapeType="1"/>
          </xdr:cNvSpPr>
        </xdr:nvSpPr>
        <xdr:spPr bwMode="auto">
          <a:xfrm rot="10800000" flipH="1" flipV="1">
            <a:off x="12032946" y="1791901"/>
            <a:ext cx="233321"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grpSp>
    <xdr:clientData/>
  </xdr:twoCellAnchor>
  <xdr:twoCellAnchor>
    <xdr:from>
      <xdr:col>72</xdr:col>
      <xdr:colOff>44119</xdr:colOff>
      <xdr:row>25</xdr:row>
      <xdr:rowOff>20457</xdr:rowOff>
    </xdr:from>
    <xdr:to>
      <xdr:col>72</xdr:col>
      <xdr:colOff>362916</xdr:colOff>
      <xdr:row>26</xdr:row>
      <xdr:rowOff>159342</xdr:rowOff>
    </xdr:to>
    <xdr:grpSp>
      <xdr:nvGrpSpPr>
        <xdr:cNvPr id="36" name="グループ化 65">
          <a:extLst>
            <a:ext uri="{FF2B5EF4-FFF2-40B4-BE49-F238E27FC236}">
              <a16:creationId xmlns:a16="http://schemas.microsoft.com/office/drawing/2014/main" id="{ACFACCDD-B800-43B9-87CE-77E1B51D4CED}"/>
            </a:ext>
          </a:extLst>
        </xdr:cNvPr>
        <xdr:cNvGrpSpPr>
          <a:grpSpLocks/>
        </xdr:cNvGrpSpPr>
      </xdr:nvGrpSpPr>
      <xdr:grpSpPr bwMode="auto">
        <a:xfrm rot="16200000" flipH="1">
          <a:off x="15568545" y="4181032"/>
          <a:ext cx="305572" cy="318797"/>
          <a:chOff x="4775309" y="5104087"/>
          <a:chExt cx="394468" cy="403992"/>
        </a:xfrm>
      </xdr:grpSpPr>
      <xdr:cxnSp macro="">
        <xdr:nvCxnSpPr>
          <xdr:cNvPr id="65" name="直線コネクタ 66">
            <a:extLst>
              <a:ext uri="{FF2B5EF4-FFF2-40B4-BE49-F238E27FC236}">
                <a16:creationId xmlns:a16="http://schemas.microsoft.com/office/drawing/2014/main" id="{352BAB11-B23C-9C55-73FF-3D5D23616A97}"/>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66" name="円弧 63">
            <a:extLst>
              <a:ext uri="{FF2B5EF4-FFF2-40B4-BE49-F238E27FC236}">
                <a16:creationId xmlns:a16="http://schemas.microsoft.com/office/drawing/2014/main" id="{E857A6BD-55F2-DB8E-1EFD-8BDB2FA30FCD}"/>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67" name="直線コネクタ 68">
            <a:extLst>
              <a:ext uri="{FF2B5EF4-FFF2-40B4-BE49-F238E27FC236}">
                <a16:creationId xmlns:a16="http://schemas.microsoft.com/office/drawing/2014/main" id="{AFFCD7F8-F64E-89C1-656C-DBDDA11B3B43}"/>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71</xdr:col>
      <xdr:colOff>267659</xdr:colOff>
      <xdr:row>25</xdr:row>
      <xdr:rowOff>23721</xdr:rowOff>
    </xdr:from>
    <xdr:to>
      <xdr:col>71</xdr:col>
      <xdr:colOff>599195</xdr:colOff>
      <xdr:row>26</xdr:row>
      <xdr:rowOff>146279</xdr:rowOff>
    </xdr:to>
    <xdr:grpSp>
      <xdr:nvGrpSpPr>
        <xdr:cNvPr id="122" name="グループ化 65">
          <a:extLst>
            <a:ext uri="{FF2B5EF4-FFF2-40B4-BE49-F238E27FC236}">
              <a16:creationId xmlns:a16="http://schemas.microsoft.com/office/drawing/2014/main" id="{D9580244-0441-4BE3-91D3-50E93BB569DC}"/>
            </a:ext>
          </a:extLst>
        </xdr:cNvPr>
        <xdr:cNvGrpSpPr>
          <a:grpSpLocks/>
        </xdr:cNvGrpSpPr>
      </xdr:nvGrpSpPr>
      <xdr:grpSpPr bwMode="auto">
        <a:xfrm rot="5400000">
          <a:off x="15195429" y="4169764"/>
          <a:ext cx="289245" cy="331536"/>
          <a:chOff x="4775309" y="5104087"/>
          <a:chExt cx="394468" cy="403992"/>
        </a:xfrm>
      </xdr:grpSpPr>
      <xdr:cxnSp macro="">
        <xdr:nvCxnSpPr>
          <xdr:cNvPr id="146" name="直線コネクタ 66">
            <a:extLst>
              <a:ext uri="{FF2B5EF4-FFF2-40B4-BE49-F238E27FC236}">
                <a16:creationId xmlns:a16="http://schemas.microsoft.com/office/drawing/2014/main" id="{B0C1413C-170F-6CE6-5282-7A0ECEB569C6}"/>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47" name="円弧 63">
            <a:extLst>
              <a:ext uri="{FF2B5EF4-FFF2-40B4-BE49-F238E27FC236}">
                <a16:creationId xmlns:a16="http://schemas.microsoft.com/office/drawing/2014/main" id="{95B6B026-EC11-9114-34DB-0715CE24FA69}"/>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148" name="直線コネクタ 68">
            <a:extLst>
              <a:ext uri="{FF2B5EF4-FFF2-40B4-BE49-F238E27FC236}">
                <a16:creationId xmlns:a16="http://schemas.microsoft.com/office/drawing/2014/main" id="{BB596B35-8541-34F6-4619-322B2552432C}"/>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70</xdr:col>
      <xdr:colOff>458491</xdr:colOff>
      <xdr:row>25</xdr:row>
      <xdr:rowOff>9058</xdr:rowOff>
    </xdr:from>
    <xdr:to>
      <xdr:col>71</xdr:col>
      <xdr:colOff>135588</xdr:colOff>
      <xdr:row>26</xdr:row>
      <xdr:rowOff>146626</xdr:rowOff>
    </xdr:to>
    <xdr:grpSp>
      <xdr:nvGrpSpPr>
        <xdr:cNvPr id="149" name="グループ化 65">
          <a:extLst>
            <a:ext uri="{FF2B5EF4-FFF2-40B4-BE49-F238E27FC236}">
              <a16:creationId xmlns:a16="http://schemas.microsoft.com/office/drawing/2014/main" id="{2C69A61E-3CBA-4E25-B70E-C1F41A8D199C}"/>
            </a:ext>
          </a:extLst>
        </xdr:cNvPr>
        <xdr:cNvGrpSpPr>
          <a:grpSpLocks/>
        </xdr:cNvGrpSpPr>
      </xdr:nvGrpSpPr>
      <xdr:grpSpPr bwMode="auto">
        <a:xfrm rot="5400000" flipH="1" flipV="1">
          <a:off x="14745943" y="4184232"/>
          <a:ext cx="304255" cy="288284"/>
          <a:chOff x="4775309" y="5104087"/>
          <a:chExt cx="394468" cy="403992"/>
        </a:xfrm>
      </xdr:grpSpPr>
      <xdr:cxnSp macro="">
        <xdr:nvCxnSpPr>
          <xdr:cNvPr id="150" name="直線コネクタ 66">
            <a:extLst>
              <a:ext uri="{FF2B5EF4-FFF2-40B4-BE49-F238E27FC236}">
                <a16:creationId xmlns:a16="http://schemas.microsoft.com/office/drawing/2014/main" id="{978C7A36-CBD0-93CC-2C1C-48DBA2C6C974}"/>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51" name="円弧 63">
            <a:extLst>
              <a:ext uri="{FF2B5EF4-FFF2-40B4-BE49-F238E27FC236}">
                <a16:creationId xmlns:a16="http://schemas.microsoft.com/office/drawing/2014/main" id="{881A7E70-3A6C-A708-FC12-6A184B62F077}"/>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152" name="直線コネクタ 68">
            <a:extLst>
              <a:ext uri="{FF2B5EF4-FFF2-40B4-BE49-F238E27FC236}">
                <a16:creationId xmlns:a16="http://schemas.microsoft.com/office/drawing/2014/main" id="{A46DCC84-1870-0369-AD69-06BDCA3B6D8C}"/>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70</xdr:col>
      <xdr:colOff>9940</xdr:colOff>
      <xdr:row>25</xdr:row>
      <xdr:rowOff>2819</xdr:rowOff>
    </xdr:from>
    <xdr:to>
      <xdr:col>70</xdr:col>
      <xdr:colOff>304783</xdr:colOff>
      <xdr:row>26</xdr:row>
      <xdr:rowOff>170490</xdr:rowOff>
    </xdr:to>
    <xdr:grpSp>
      <xdr:nvGrpSpPr>
        <xdr:cNvPr id="153" name="グループ化 65">
          <a:extLst>
            <a:ext uri="{FF2B5EF4-FFF2-40B4-BE49-F238E27FC236}">
              <a16:creationId xmlns:a16="http://schemas.microsoft.com/office/drawing/2014/main" id="{31B24B1F-EE7C-4FB1-8991-ADF435A8F156}"/>
            </a:ext>
          </a:extLst>
        </xdr:cNvPr>
        <xdr:cNvGrpSpPr>
          <a:grpSpLocks/>
        </xdr:cNvGrpSpPr>
      </xdr:nvGrpSpPr>
      <xdr:grpSpPr bwMode="auto">
        <a:xfrm>
          <a:off x="14305378" y="4170007"/>
          <a:ext cx="294843" cy="328008"/>
          <a:chOff x="4775309" y="5104087"/>
          <a:chExt cx="394468" cy="403992"/>
        </a:xfrm>
      </xdr:grpSpPr>
      <xdr:cxnSp macro="">
        <xdr:nvCxnSpPr>
          <xdr:cNvPr id="154" name="直線コネクタ 66">
            <a:extLst>
              <a:ext uri="{FF2B5EF4-FFF2-40B4-BE49-F238E27FC236}">
                <a16:creationId xmlns:a16="http://schemas.microsoft.com/office/drawing/2014/main" id="{0051DC97-C0D6-9F1A-D2D5-EC741E087382}"/>
              </a:ext>
            </a:extLst>
          </xdr:cNvPr>
          <xdr:cNvCxnSpPr>
            <a:cxnSpLocks noChangeShapeType="1"/>
          </xdr:cNvCxnSpPr>
        </xdr:nvCxnSpPr>
        <xdr:spPr bwMode="auto">
          <a:xfrm>
            <a:off x="4775309" y="5106385"/>
            <a:ext cx="0" cy="373774"/>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sp macro="" textlink="">
        <xdr:nvSpPr>
          <xdr:cNvPr id="155" name="円弧 63">
            <a:extLst>
              <a:ext uri="{FF2B5EF4-FFF2-40B4-BE49-F238E27FC236}">
                <a16:creationId xmlns:a16="http://schemas.microsoft.com/office/drawing/2014/main" id="{5DE0C0CD-1A1D-02F5-53E0-A41D51C99690}"/>
              </a:ext>
            </a:extLst>
          </xdr:cNvPr>
          <xdr:cNvSpPr/>
        </xdr:nvSpPr>
        <xdr:spPr bwMode="auto">
          <a:xfrm>
            <a:off x="4775309" y="5104087"/>
            <a:ext cx="394468" cy="403992"/>
          </a:xfrm>
          <a:custGeom>
            <a:avLst/>
            <a:gdLst>
              <a:gd name="connsiteX0" fmla="*/ 364577 w 729155"/>
              <a:gd name="connsiteY0" fmla="*/ 0 h 807984"/>
              <a:gd name="connsiteX1" fmla="*/ 729155 w 729155"/>
              <a:gd name="connsiteY1" fmla="*/ 403992 h 807984"/>
              <a:gd name="connsiteX2" fmla="*/ 364578 w 729155"/>
              <a:gd name="connsiteY2" fmla="*/ 403992 h 807984"/>
              <a:gd name="connsiteX3" fmla="*/ 364577 w 729155"/>
              <a:gd name="connsiteY3" fmla="*/ 0 h 807984"/>
              <a:gd name="connsiteX0" fmla="*/ 364577 w 729155"/>
              <a:gd name="connsiteY0" fmla="*/ 0 h 807984"/>
              <a:gd name="connsiteX1" fmla="*/ 729155 w 729155"/>
              <a:gd name="connsiteY1" fmla="*/ 403992 h 807984"/>
              <a:gd name="connsiteX0" fmla="*/ 0 w 390854"/>
              <a:gd name="connsiteY0" fmla="*/ 0 h 403992"/>
              <a:gd name="connsiteX1" fmla="*/ 364578 w 390854"/>
              <a:gd name="connsiteY1" fmla="*/ 403992 h 403992"/>
              <a:gd name="connsiteX2" fmla="*/ 1 w 390854"/>
              <a:gd name="connsiteY2" fmla="*/ 403992 h 403992"/>
              <a:gd name="connsiteX3" fmla="*/ 0 w 390854"/>
              <a:gd name="connsiteY3" fmla="*/ 0 h 403992"/>
              <a:gd name="connsiteX0" fmla="*/ 0 w 390854"/>
              <a:gd name="connsiteY0" fmla="*/ 0 h 403992"/>
              <a:gd name="connsiteX1" fmla="*/ 390854 w 390854"/>
              <a:gd name="connsiteY1" fmla="*/ 384285 h 403992"/>
            </a:gdLst>
            <a:ahLst/>
            <a:cxnLst>
              <a:cxn ang="0">
                <a:pos x="connsiteX0" y="connsiteY0"/>
              </a:cxn>
              <a:cxn ang="0">
                <a:pos x="connsiteX1" y="connsiteY1"/>
              </a:cxn>
            </a:cxnLst>
            <a:rect l="l" t="t" r="r" b="b"/>
            <a:pathLst>
              <a:path w="390854" h="403992" stroke="0" extrusionOk="0">
                <a:moveTo>
                  <a:pt x="0" y="0"/>
                </a:moveTo>
                <a:cubicBezTo>
                  <a:pt x="201351" y="0"/>
                  <a:pt x="364578" y="180873"/>
                  <a:pt x="364578" y="403992"/>
                </a:cubicBezTo>
                <a:lnTo>
                  <a:pt x="1" y="403992"/>
                </a:lnTo>
                <a:cubicBezTo>
                  <a:pt x="1" y="269328"/>
                  <a:pt x="0" y="134664"/>
                  <a:pt x="0" y="0"/>
                </a:cubicBezTo>
                <a:close/>
              </a:path>
              <a:path w="390854" h="403992" fill="none">
                <a:moveTo>
                  <a:pt x="0" y="0"/>
                </a:moveTo>
                <a:cubicBezTo>
                  <a:pt x="201351" y="0"/>
                  <a:pt x="390854" y="161166"/>
                  <a:pt x="390854" y="384285"/>
                </a:cubicBezTo>
              </a:path>
            </a:pathLst>
          </a:cu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endParaRPr lang="ja-JP" altLang="en-US"/>
          </a:p>
        </xdr:txBody>
      </xdr:sp>
      <xdr:cxnSp macro="">
        <xdr:nvCxnSpPr>
          <xdr:cNvPr id="156" name="直線コネクタ 68">
            <a:extLst>
              <a:ext uri="{FF2B5EF4-FFF2-40B4-BE49-F238E27FC236}">
                <a16:creationId xmlns:a16="http://schemas.microsoft.com/office/drawing/2014/main" id="{AD768530-2B37-563A-7843-41F3A08F8402}"/>
              </a:ext>
            </a:extLst>
          </xdr:cNvPr>
          <xdr:cNvCxnSpPr>
            <a:cxnSpLocks noChangeShapeType="1"/>
          </xdr:cNvCxnSpPr>
        </xdr:nvCxnSpPr>
        <xdr:spPr bwMode="auto">
          <a:xfrm flipH="1">
            <a:off x="4781878" y="5480159"/>
            <a:ext cx="387897" cy="0"/>
          </a:xfrm>
          <a:prstGeom prst="line">
            <a:avLst/>
          </a:prstGeom>
          <a:noFill/>
          <a:ln w="9525" algn="ctr">
            <a:solidFill>
              <a:srgbClr val="000000"/>
            </a:solidFill>
            <a:round/>
            <a:headEnd/>
            <a:tailEnd/>
          </a:ln>
          <a:extLst>
            <a:ext uri="{909E8E84-426E-40DD-AFC4-6F175D3DCCD1}">
              <a14:hiddenFill xmlns:a14="http://schemas.microsoft.com/office/drawing/2010/main">
                <a:noFill/>
              </a14:hiddenFill>
            </a:ext>
          </a:extLst>
        </xdr:spPr>
      </xdr:cxnSp>
    </xdr:grpSp>
    <xdr:clientData/>
  </xdr:twoCellAnchor>
  <xdr:twoCellAnchor>
    <xdr:from>
      <xdr:col>65</xdr:col>
      <xdr:colOff>483827</xdr:colOff>
      <xdr:row>29</xdr:row>
      <xdr:rowOff>85349</xdr:rowOff>
    </xdr:from>
    <xdr:to>
      <xdr:col>65</xdr:col>
      <xdr:colOff>529546</xdr:colOff>
      <xdr:row>33</xdr:row>
      <xdr:rowOff>66463</xdr:rowOff>
    </xdr:to>
    <xdr:grpSp>
      <xdr:nvGrpSpPr>
        <xdr:cNvPr id="157" name="グループ化 156">
          <a:extLst>
            <a:ext uri="{FF2B5EF4-FFF2-40B4-BE49-F238E27FC236}">
              <a16:creationId xmlns:a16="http://schemas.microsoft.com/office/drawing/2014/main" id="{A791ECE8-570D-4A3C-9750-03E5515D9C1E}"/>
            </a:ext>
          </a:extLst>
        </xdr:cNvPr>
        <xdr:cNvGrpSpPr/>
      </xdr:nvGrpSpPr>
      <xdr:grpSpPr>
        <a:xfrm rot="5400000" flipV="1">
          <a:off x="11390505" y="5220359"/>
          <a:ext cx="647864" cy="45719"/>
          <a:chOff x="6858000" y="4124324"/>
          <a:chExt cx="762000" cy="132159"/>
        </a:xfrm>
      </xdr:grpSpPr>
      <xdr:sp macro="" textlink="">
        <xdr:nvSpPr>
          <xdr:cNvPr id="158" name="正方形/長方形 157">
            <a:extLst>
              <a:ext uri="{FF2B5EF4-FFF2-40B4-BE49-F238E27FC236}">
                <a16:creationId xmlns:a16="http://schemas.microsoft.com/office/drawing/2014/main" id="{EF62DE57-4E22-F8BD-D15C-E66D58498217}"/>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159" name="直線 2166">
            <a:extLst>
              <a:ext uri="{FF2B5EF4-FFF2-40B4-BE49-F238E27FC236}">
                <a16:creationId xmlns:a16="http://schemas.microsoft.com/office/drawing/2014/main" id="{6766E379-B77B-1B87-14F0-415C4C9A699B}"/>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0" name="直線 2167">
            <a:extLst>
              <a:ext uri="{FF2B5EF4-FFF2-40B4-BE49-F238E27FC236}">
                <a16:creationId xmlns:a16="http://schemas.microsoft.com/office/drawing/2014/main" id="{1C3E6B1B-8938-BD06-CFD1-6A03E106FD3B}"/>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1" name="直線 2167">
            <a:extLst>
              <a:ext uri="{FF2B5EF4-FFF2-40B4-BE49-F238E27FC236}">
                <a16:creationId xmlns:a16="http://schemas.microsoft.com/office/drawing/2014/main" id="{37A529EA-FE7F-24BD-EEF2-030C891879BD}"/>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69</xdr:col>
      <xdr:colOff>283648</xdr:colOff>
      <xdr:row>24</xdr:row>
      <xdr:rowOff>90637</xdr:rowOff>
    </xdr:from>
    <xdr:to>
      <xdr:col>69</xdr:col>
      <xdr:colOff>329367</xdr:colOff>
      <xdr:row>32</xdr:row>
      <xdr:rowOff>105438</xdr:rowOff>
    </xdr:to>
    <xdr:grpSp>
      <xdr:nvGrpSpPr>
        <xdr:cNvPr id="162" name="グループ化 161">
          <a:extLst>
            <a:ext uri="{FF2B5EF4-FFF2-40B4-BE49-F238E27FC236}">
              <a16:creationId xmlns:a16="http://schemas.microsoft.com/office/drawing/2014/main" id="{31AE2AFE-66CE-465E-9D4B-6842B333F2CD}"/>
            </a:ext>
          </a:extLst>
        </xdr:cNvPr>
        <xdr:cNvGrpSpPr/>
      </xdr:nvGrpSpPr>
      <xdr:grpSpPr>
        <a:xfrm rot="5400000" flipV="1">
          <a:off x="13316607" y="4742428"/>
          <a:ext cx="1348301" cy="45719"/>
          <a:chOff x="14477083" y="7212702"/>
          <a:chExt cx="1524916" cy="141449"/>
        </a:xfrm>
      </xdr:grpSpPr>
      <xdr:sp macro="" textlink="">
        <xdr:nvSpPr>
          <xdr:cNvPr id="163" name="正方形/長方形 162">
            <a:extLst>
              <a:ext uri="{FF2B5EF4-FFF2-40B4-BE49-F238E27FC236}">
                <a16:creationId xmlns:a16="http://schemas.microsoft.com/office/drawing/2014/main" id="{FD7600B8-6755-6DE3-1076-04D1A756957A}"/>
              </a:ext>
            </a:extLst>
          </xdr:cNvPr>
          <xdr:cNvSpPr/>
        </xdr:nvSpPr>
        <xdr:spPr bwMode="auto">
          <a:xfrm rot="10800000">
            <a:off x="14477083" y="7240107"/>
            <a:ext cx="1524916" cy="90489"/>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164" name="直線 2166">
            <a:extLst>
              <a:ext uri="{FF2B5EF4-FFF2-40B4-BE49-F238E27FC236}">
                <a16:creationId xmlns:a16="http://schemas.microsoft.com/office/drawing/2014/main" id="{AC24B488-A0DF-E757-2EF0-955C5D218D5A}"/>
              </a:ext>
            </a:extLst>
          </xdr:cNvPr>
          <xdr:cNvSpPr>
            <a:spLocks noChangeShapeType="1"/>
          </xdr:cNvSpPr>
        </xdr:nvSpPr>
        <xdr:spPr bwMode="auto">
          <a:xfrm rot="10800000">
            <a:off x="15237959" y="7212702"/>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5" name="直線 2167">
            <a:extLst>
              <a:ext uri="{FF2B5EF4-FFF2-40B4-BE49-F238E27FC236}">
                <a16:creationId xmlns:a16="http://schemas.microsoft.com/office/drawing/2014/main" id="{B4CDB270-C876-5CC1-244F-9105C3F0155D}"/>
              </a:ext>
            </a:extLst>
          </xdr:cNvPr>
          <xdr:cNvSpPr>
            <a:spLocks noChangeShapeType="1"/>
          </xdr:cNvSpPr>
        </xdr:nvSpPr>
        <xdr:spPr bwMode="auto">
          <a:xfrm rot="10800000" flipH="1">
            <a:off x="15563648" y="7291412"/>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sp macro="" textlink="">
        <xdr:nvSpPr>
          <xdr:cNvPr id="166" name="直線 2167">
            <a:extLst>
              <a:ext uri="{FF2B5EF4-FFF2-40B4-BE49-F238E27FC236}">
                <a16:creationId xmlns:a16="http://schemas.microsoft.com/office/drawing/2014/main" id="{99C9A249-9D4B-E1BF-1AC0-8CF156DDD399}"/>
              </a:ext>
            </a:extLst>
          </xdr:cNvPr>
          <xdr:cNvSpPr>
            <a:spLocks noChangeShapeType="1"/>
          </xdr:cNvSpPr>
        </xdr:nvSpPr>
        <xdr:spPr bwMode="auto">
          <a:xfrm rot="10800000" flipH="1">
            <a:off x="14832811" y="727346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7" name="直線 2166">
            <a:extLst>
              <a:ext uri="{FF2B5EF4-FFF2-40B4-BE49-F238E27FC236}">
                <a16:creationId xmlns:a16="http://schemas.microsoft.com/office/drawing/2014/main" id="{6D6F69FA-F005-D223-E137-3F8A8BB6BEDB}"/>
              </a:ext>
            </a:extLst>
          </xdr:cNvPr>
          <xdr:cNvSpPr>
            <a:spLocks noChangeShapeType="1"/>
          </xdr:cNvSpPr>
        </xdr:nvSpPr>
        <xdr:spPr bwMode="auto">
          <a:xfrm rot="10800000">
            <a:off x="14858083" y="7219106"/>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68" name="直線 2167">
            <a:extLst>
              <a:ext uri="{FF2B5EF4-FFF2-40B4-BE49-F238E27FC236}">
                <a16:creationId xmlns:a16="http://schemas.microsoft.com/office/drawing/2014/main" id="{B250F16C-9089-279F-5A55-2DBEAAC0A94F}"/>
              </a:ext>
            </a:extLst>
          </xdr:cNvPr>
          <xdr:cNvSpPr>
            <a:spLocks noChangeShapeType="1"/>
          </xdr:cNvSpPr>
        </xdr:nvSpPr>
        <xdr:spPr bwMode="auto">
          <a:xfrm rot="10800000" flipH="1">
            <a:off x="14477420" y="7297158"/>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sp macro="" textlink="">
        <xdr:nvSpPr>
          <xdr:cNvPr id="169" name="直線 2166">
            <a:extLst>
              <a:ext uri="{FF2B5EF4-FFF2-40B4-BE49-F238E27FC236}">
                <a16:creationId xmlns:a16="http://schemas.microsoft.com/office/drawing/2014/main" id="{BB58F244-D1E6-2196-2D49-BC9B458E772C}"/>
              </a:ext>
            </a:extLst>
          </xdr:cNvPr>
          <xdr:cNvSpPr>
            <a:spLocks noChangeShapeType="1"/>
          </xdr:cNvSpPr>
        </xdr:nvSpPr>
        <xdr:spPr bwMode="auto">
          <a:xfrm rot="10800000">
            <a:off x="15621000" y="7221992"/>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0" name="直線 2167">
            <a:extLst>
              <a:ext uri="{FF2B5EF4-FFF2-40B4-BE49-F238E27FC236}">
                <a16:creationId xmlns:a16="http://schemas.microsoft.com/office/drawing/2014/main" id="{116FF5BE-820D-1C87-4233-C15EC553CE3B}"/>
              </a:ext>
            </a:extLst>
          </xdr:cNvPr>
          <xdr:cNvSpPr>
            <a:spLocks noChangeShapeType="1"/>
          </xdr:cNvSpPr>
        </xdr:nvSpPr>
        <xdr:spPr bwMode="auto">
          <a:xfrm rot="10800000" flipH="1">
            <a:off x="15222990" y="727301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grpSp>
    <xdr:clientData/>
  </xdr:twoCellAnchor>
  <xdr:twoCellAnchor>
    <xdr:from>
      <xdr:col>73</xdr:col>
      <xdr:colOff>511792</xdr:colOff>
      <xdr:row>22</xdr:row>
      <xdr:rowOff>14709</xdr:rowOff>
    </xdr:from>
    <xdr:to>
      <xdr:col>74</xdr:col>
      <xdr:colOff>312347</xdr:colOff>
      <xdr:row>23</xdr:row>
      <xdr:rowOff>84515</xdr:rowOff>
    </xdr:to>
    <xdr:grpSp>
      <xdr:nvGrpSpPr>
        <xdr:cNvPr id="171" name="トイレ・洋・右">
          <a:extLst>
            <a:ext uri="{FF2B5EF4-FFF2-40B4-BE49-F238E27FC236}">
              <a16:creationId xmlns:a16="http://schemas.microsoft.com/office/drawing/2014/main" id="{6F877997-3DA0-44AC-B1D8-A46795D0C54A}"/>
            </a:ext>
          </a:extLst>
        </xdr:cNvPr>
        <xdr:cNvGrpSpPr>
          <a:grpSpLocks/>
        </xdr:cNvGrpSpPr>
      </xdr:nvGrpSpPr>
      <xdr:grpSpPr bwMode="auto">
        <a:xfrm rot="10800000">
          <a:off x="16640792" y="3681834"/>
          <a:ext cx="411743" cy="236494"/>
          <a:chOff x="1316" y="200"/>
          <a:chExt cx="32" cy="18"/>
        </a:xfrm>
        <a:solidFill>
          <a:sysClr val="window" lastClr="FFFFFF"/>
        </a:solidFill>
      </xdr:grpSpPr>
      <xdr:sp macro="" textlink="">
        <xdr:nvSpPr>
          <xdr:cNvPr id="172" name="オートシェイプ 1275">
            <a:extLst>
              <a:ext uri="{FF2B5EF4-FFF2-40B4-BE49-F238E27FC236}">
                <a16:creationId xmlns:a16="http://schemas.microsoft.com/office/drawing/2014/main" id="{4BDB1840-78FD-4999-7D75-275471F3C189}"/>
              </a:ext>
            </a:extLst>
          </xdr:cNvPr>
          <xdr:cNvSpPr>
            <a:spLocks noChangeArrowheads="1"/>
          </xdr:cNvSpPr>
        </xdr:nvSpPr>
        <xdr:spPr bwMode="auto">
          <a:xfrm>
            <a:off x="1327" y="200"/>
            <a:ext cx="21" cy="18"/>
          </a:xfrm>
          <a:prstGeom prst="flowChartDelay">
            <a:avLst/>
          </a:prstGeom>
          <a:grp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3" name="オートシェイプ 1329">
            <a:extLst>
              <a:ext uri="{FF2B5EF4-FFF2-40B4-BE49-F238E27FC236}">
                <a16:creationId xmlns:a16="http://schemas.microsoft.com/office/drawing/2014/main" id="{DBDADE45-C3DF-6FB8-0690-7BBFCF3118A1}"/>
              </a:ext>
            </a:extLst>
          </xdr:cNvPr>
          <xdr:cNvSpPr>
            <a:spLocks noChangeArrowheads="1"/>
          </xdr:cNvSpPr>
        </xdr:nvSpPr>
        <xdr:spPr bwMode="auto">
          <a:xfrm rot="-21600000">
            <a:off x="1316" y="200"/>
            <a:ext cx="9" cy="18"/>
          </a:xfrm>
          <a:prstGeom prst="roundRect">
            <a:avLst>
              <a:gd name="adj" fmla="val 22222"/>
            </a:avLst>
          </a:prstGeom>
          <a:grpFill/>
          <a:ln w="3810" algn="ctr">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4" name="直線 1330">
            <a:extLst>
              <a:ext uri="{FF2B5EF4-FFF2-40B4-BE49-F238E27FC236}">
                <a16:creationId xmlns:a16="http://schemas.microsoft.com/office/drawing/2014/main" id="{5AAC49C4-E02E-BD68-D36B-50AA2F267751}"/>
              </a:ext>
            </a:extLst>
          </xdr:cNvPr>
          <xdr:cNvSpPr>
            <a:spLocks noChangeShapeType="1"/>
          </xdr:cNvSpPr>
        </xdr:nvSpPr>
        <xdr:spPr bwMode="auto">
          <a:xfrm flipH="1">
            <a:off x="1326" y="202"/>
            <a:ext cx="0" cy="14"/>
          </a:xfrm>
          <a:prstGeom prst="line">
            <a:avLst/>
          </a:prstGeom>
          <a:grpFill/>
          <a:ln w="9525">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5" name="オートシェイプ 1331">
            <a:extLst>
              <a:ext uri="{FF2B5EF4-FFF2-40B4-BE49-F238E27FC236}">
                <a16:creationId xmlns:a16="http://schemas.microsoft.com/office/drawing/2014/main" id="{8CE074E4-35F9-94DD-3193-CBDDBA1AD658}"/>
              </a:ext>
            </a:extLst>
          </xdr:cNvPr>
          <xdr:cNvSpPr>
            <a:spLocks noChangeArrowheads="1"/>
          </xdr:cNvSpPr>
        </xdr:nvSpPr>
        <xdr:spPr bwMode="auto">
          <a:xfrm flipH="1">
            <a:off x="1317" y="203"/>
            <a:ext cx="6" cy="12"/>
          </a:xfrm>
          <a:prstGeom prst="flowChartDelay">
            <a:avLst/>
          </a:prstGeom>
          <a:grp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6" name="直線 1332">
            <a:extLst>
              <a:ext uri="{FF2B5EF4-FFF2-40B4-BE49-F238E27FC236}">
                <a16:creationId xmlns:a16="http://schemas.microsoft.com/office/drawing/2014/main" id="{45885F22-F094-E482-8866-A5E21515336F}"/>
              </a:ext>
            </a:extLst>
          </xdr:cNvPr>
          <xdr:cNvSpPr>
            <a:spLocks noChangeShapeType="1"/>
          </xdr:cNvSpPr>
        </xdr:nvSpPr>
        <xdr:spPr bwMode="auto">
          <a:xfrm rot="-21600000">
            <a:off x="1316" y="209"/>
            <a:ext cx="4" cy="0"/>
          </a:xfrm>
          <a:prstGeom prst="line">
            <a:avLst/>
          </a:prstGeom>
          <a:grpFill/>
          <a:ln w="19050">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70</xdr:col>
      <xdr:colOff>210312</xdr:colOff>
      <xdr:row>21</xdr:row>
      <xdr:rowOff>147186</xdr:rowOff>
    </xdr:from>
    <xdr:to>
      <xdr:col>71</xdr:col>
      <xdr:colOff>235060</xdr:colOff>
      <xdr:row>24</xdr:row>
      <xdr:rowOff>13318</xdr:rowOff>
    </xdr:to>
    <xdr:grpSp>
      <xdr:nvGrpSpPr>
        <xdr:cNvPr id="177" name="グループ化 176">
          <a:extLst>
            <a:ext uri="{FF2B5EF4-FFF2-40B4-BE49-F238E27FC236}">
              <a16:creationId xmlns:a16="http://schemas.microsoft.com/office/drawing/2014/main" id="{D5863452-4BC4-4A53-90F5-0A587603EBB2}"/>
            </a:ext>
          </a:extLst>
        </xdr:cNvPr>
        <xdr:cNvGrpSpPr/>
      </xdr:nvGrpSpPr>
      <xdr:grpSpPr>
        <a:xfrm rot="10800000">
          <a:off x="14505750" y="3647624"/>
          <a:ext cx="635935" cy="366194"/>
          <a:chOff x="15277367" y="3256817"/>
          <a:chExt cx="473320" cy="328246"/>
        </a:xfrm>
      </xdr:grpSpPr>
      <xdr:sp macro="" textlink="">
        <xdr:nvSpPr>
          <xdr:cNvPr id="178" name="四角形 2263" descr="タイル・黒・大">
            <a:extLst>
              <a:ext uri="{FF2B5EF4-FFF2-40B4-BE49-F238E27FC236}">
                <a16:creationId xmlns:a16="http://schemas.microsoft.com/office/drawing/2014/main" id="{B398FD38-0428-A445-263E-0D468644D164}"/>
              </a:ext>
            </a:extLst>
          </xdr:cNvPr>
          <xdr:cNvSpPr>
            <a:spLocks noChangeArrowheads="1"/>
          </xdr:cNvSpPr>
        </xdr:nvSpPr>
        <xdr:spPr bwMode="auto">
          <a:xfrm>
            <a:off x="15277367" y="3256817"/>
            <a:ext cx="473320" cy="328246"/>
          </a:xfrm>
          <a:prstGeom prst="rect">
            <a:avLst/>
          </a:prstGeom>
          <a:no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79" name="浴槽・小・横">
            <a:extLst>
              <a:ext uri="{FF2B5EF4-FFF2-40B4-BE49-F238E27FC236}">
                <a16:creationId xmlns:a16="http://schemas.microsoft.com/office/drawing/2014/main" id="{1253F084-4FA2-C948-7F94-EBBDC3F62000}"/>
              </a:ext>
            </a:extLst>
          </xdr:cNvPr>
          <xdr:cNvSpPr>
            <a:spLocks noChangeArrowheads="1"/>
          </xdr:cNvSpPr>
        </xdr:nvSpPr>
        <xdr:spPr bwMode="auto">
          <a:xfrm>
            <a:off x="15319863" y="3299313"/>
            <a:ext cx="394922" cy="249848"/>
          </a:xfrm>
          <a:prstGeom prst="roundRect">
            <a:avLst>
              <a:gd name="adj" fmla="val 16667"/>
            </a:avLst>
          </a:prstGeom>
          <a:noFill/>
          <a:ln w="3810">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71</xdr:col>
      <xdr:colOff>503603</xdr:colOff>
      <xdr:row>22</xdr:row>
      <xdr:rowOff>42133</xdr:rowOff>
    </xdr:from>
    <xdr:to>
      <xdr:col>73</xdr:col>
      <xdr:colOff>228300</xdr:colOff>
      <xdr:row>23</xdr:row>
      <xdr:rowOff>135452</xdr:rowOff>
    </xdr:to>
    <xdr:grpSp>
      <xdr:nvGrpSpPr>
        <xdr:cNvPr id="180" name="キッチン・大">
          <a:extLst>
            <a:ext uri="{FF2B5EF4-FFF2-40B4-BE49-F238E27FC236}">
              <a16:creationId xmlns:a16="http://schemas.microsoft.com/office/drawing/2014/main" id="{40223886-83C7-4A59-82E5-E336B1F952C7}"/>
            </a:ext>
          </a:extLst>
        </xdr:cNvPr>
        <xdr:cNvGrpSpPr>
          <a:grpSpLocks/>
        </xdr:cNvGrpSpPr>
      </xdr:nvGrpSpPr>
      <xdr:grpSpPr bwMode="auto">
        <a:xfrm>
          <a:off x="15410228" y="3709258"/>
          <a:ext cx="947072" cy="260007"/>
          <a:chOff x="1315" y="42"/>
          <a:chExt cx="114" cy="22"/>
        </a:xfrm>
        <a:noFill/>
      </xdr:grpSpPr>
      <xdr:sp macro="" textlink="">
        <xdr:nvSpPr>
          <xdr:cNvPr id="181" name="四角形 350">
            <a:extLst>
              <a:ext uri="{FF2B5EF4-FFF2-40B4-BE49-F238E27FC236}">
                <a16:creationId xmlns:a16="http://schemas.microsoft.com/office/drawing/2014/main" id="{F3ED8DB2-3623-A8E0-DDA4-B8A2CEAC5E5B}"/>
              </a:ext>
            </a:extLst>
          </xdr:cNvPr>
          <xdr:cNvSpPr>
            <a:spLocks noChangeArrowheads="1"/>
          </xdr:cNvSpPr>
        </xdr:nvSpPr>
        <xdr:spPr bwMode="auto">
          <a:xfrm>
            <a:off x="1315" y="42"/>
            <a:ext cx="114" cy="22"/>
          </a:xfrm>
          <a:prstGeom prst="rect">
            <a:avLst/>
          </a:prstGeom>
          <a:grpFill/>
          <a:ln w="3810">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182" name="四角形 357">
            <a:extLst>
              <a:ext uri="{FF2B5EF4-FFF2-40B4-BE49-F238E27FC236}">
                <a16:creationId xmlns:a16="http://schemas.microsoft.com/office/drawing/2014/main" id="{7A7F3510-33D6-B642-36D9-72064ECA0318}"/>
              </a:ext>
            </a:extLst>
          </xdr:cNvPr>
          <xdr:cNvSpPr>
            <a:spLocks noChangeArrowheads="1"/>
          </xdr:cNvSpPr>
        </xdr:nvSpPr>
        <xdr:spPr bwMode="auto">
          <a:xfrm>
            <a:off x="1402" y="44"/>
            <a:ext cx="23" cy="18"/>
          </a:xfrm>
          <a:prstGeom prst="rect">
            <a:avLst/>
          </a:prstGeom>
          <a:grpFill/>
          <a:ln w="3810"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3" name="オートシェイプ 351">
            <a:extLst>
              <a:ext uri="{FF2B5EF4-FFF2-40B4-BE49-F238E27FC236}">
                <a16:creationId xmlns:a16="http://schemas.microsoft.com/office/drawing/2014/main" id="{9495AD03-4568-D53A-902C-25E445B351BC}"/>
              </a:ext>
            </a:extLst>
          </xdr:cNvPr>
          <xdr:cNvSpPr>
            <a:spLocks noChangeArrowheads="1"/>
          </xdr:cNvSpPr>
        </xdr:nvSpPr>
        <xdr:spPr bwMode="auto">
          <a:xfrm>
            <a:off x="1326" y="46"/>
            <a:ext cx="37" cy="16"/>
          </a:xfrm>
          <a:prstGeom prst="roundRect">
            <a:avLst>
              <a:gd name="adj" fmla="val 16667"/>
            </a:avLst>
          </a:prstGeom>
          <a:grpFill/>
          <a:ln w="3810">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84" name="楕円 352">
            <a:extLst>
              <a:ext uri="{FF2B5EF4-FFF2-40B4-BE49-F238E27FC236}">
                <a16:creationId xmlns:a16="http://schemas.microsoft.com/office/drawing/2014/main" id="{BFB7D049-DBE9-83CC-E222-6FA460B72C4B}"/>
              </a:ext>
            </a:extLst>
          </xdr:cNvPr>
          <xdr:cNvSpPr>
            <a:spLocks noChangeArrowheads="1"/>
          </xdr:cNvSpPr>
        </xdr:nvSpPr>
        <xdr:spPr bwMode="auto">
          <a:xfrm>
            <a:off x="1411" y="48"/>
            <a:ext cx="5" cy="5"/>
          </a:xfrm>
          <a:prstGeom prst="ellipse">
            <a:avLst/>
          </a:prstGeom>
          <a:grpFill/>
          <a:ln w="3810">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85" name="楕円 353">
            <a:extLst>
              <a:ext uri="{FF2B5EF4-FFF2-40B4-BE49-F238E27FC236}">
                <a16:creationId xmlns:a16="http://schemas.microsoft.com/office/drawing/2014/main" id="{466A7C0E-0E76-618E-66CB-F0AC9B14FCFD}"/>
              </a:ext>
            </a:extLst>
          </xdr:cNvPr>
          <xdr:cNvSpPr>
            <a:spLocks noChangeArrowheads="1"/>
          </xdr:cNvSpPr>
        </xdr:nvSpPr>
        <xdr:spPr bwMode="auto">
          <a:xfrm>
            <a:off x="1405" y="53"/>
            <a:ext cx="6" cy="6"/>
          </a:xfrm>
          <a:prstGeom prst="ellipse">
            <a:avLst/>
          </a:prstGeom>
          <a:grpFill/>
          <a:ln w="3810">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86" name="楕円 354">
            <a:extLst>
              <a:ext uri="{FF2B5EF4-FFF2-40B4-BE49-F238E27FC236}">
                <a16:creationId xmlns:a16="http://schemas.microsoft.com/office/drawing/2014/main" id="{704B9AE7-5682-D5E9-B1B8-6D5CA1C31E4D}"/>
              </a:ext>
            </a:extLst>
          </xdr:cNvPr>
          <xdr:cNvSpPr>
            <a:spLocks noChangeArrowheads="1"/>
          </xdr:cNvSpPr>
        </xdr:nvSpPr>
        <xdr:spPr bwMode="auto">
          <a:xfrm>
            <a:off x="1416" y="53"/>
            <a:ext cx="6" cy="6"/>
          </a:xfrm>
          <a:prstGeom prst="ellipse">
            <a:avLst/>
          </a:prstGeom>
          <a:grpFill/>
          <a:ln w="3810">
            <a:solidFill>
              <a:srgbClr xmlns:mc="http://schemas.openxmlformats.org/markup-compatibility/2006" xmlns:a14="http://schemas.microsoft.com/office/drawing/2010/main" val="000000" mc:Ignorable="a14" a14:legacySpreadsheetColorIndex="64"/>
            </a:solidFill>
            <a:round/>
            <a:headEnd/>
            <a:tailEnd/>
          </a:ln>
        </xdr:spPr>
      </xdr:sp>
      <xdr:sp macro="" textlink="">
        <xdr:nvSpPr>
          <xdr:cNvPr id="187" name="直線 355" descr="新聞紙">
            <a:extLst>
              <a:ext uri="{FF2B5EF4-FFF2-40B4-BE49-F238E27FC236}">
                <a16:creationId xmlns:a16="http://schemas.microsoft.com/office/drawing/2014/main" id="{8570435F-31D3-1EA0-9CF7-059089A24F00}"/>
              </a:ext>
            </a:extLst>
          </xdr:cNvPr>
          <xdr:cNvSpPr>
            <a:spLocks noChangeShapeType="1"/>
          </xdr:cNvSpPr>
        </xdr:nvSpPr>
        <xdr:spPr bwMode="auto">
          <a:xfrm>
            <a:off x="1402" y="46"/>
            <a:ext cx="23" cy="0"/>
          </a:xfrm>
          <a:prstGeom prst="line">
            <a:avLst/>
          </a:prstGeom>
          <a:grpFill/>
          <a:ln w="3810">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8" name="直線 356" descr="新聞紙">
            <a:extLst>
              <a:ext uri="{FF2B5EF4-FFF2-40B4-BE49-F238E27FC236}">
                <a16:creationId xmlns:a16="http://schemas.microsoft.com/office/drawing/2014/main" id="{52C97BD8-C620-731E-FC2D-31EE929F9A98}"/>
              </a:ext>
            </a:extLst>
          </xdr:cNvPr>
          <xdr:cNvSpPr>
            <a:spLocks noChangeShapeType="1"/>
          </xdr:cNvSpPr>
        </xdr:nvSpPr>
        <xdr:spPr bwMode="auto">
          <a:xfrm>
            <a:off x="1344" y="44"/>
            <a:ext cx="0" cy="7"/>
          </a:xfrm>
          <a:prstGeom prst="line">
            <a:avLst/>
          </a:prstGeom>
          <a:grpFill/>
          <a:ln w="16510">
            <a:solidFill>
              <a:srgbClr xmlns:mc="http://schemas.openxmlformats.org/markup-compatibility/2006" xmlns:a14="http://schemas.microsoft.com/office/drawing/2010/main" val="000000" mc:Ignorable="a14" a14:legacySpreadsheetColorIndex="64"/>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189" name="楕円 358" descr="新聞紙">
            <a:extLst>
              <a:ext uri="{FF2B5EF4-FFF2-40B4-BE49-F238E27FC236}">
                <a16:creationId xmlns:a16="http://schemas.microsoft.com/office/drawing/2014/main" id="{A061E51B-54D4-0BCD-2FB9-BD672F6414D8}"/>
              </a:ext>
            </a:extLst>
          </xdr:cNvPr>
          <xdr:cNvSpPr>
            <a:spLocks noChangeArrowheads="1"/>
          </xdr:cNvSpPr>
        </xdr:nvSpPr>
        <xdr:spPr bwMode="auto">
          <a:xfrm>
            <a:off x="1341" y="48"/>
            <a:ext cx="6" cy="6"/>
          </a:xfrm>
          <a:prstGeom prst="ellipse">
            <a:avLst/>
          </a:prstGeom>
          <a:grpFill/>
          <a:ln w="3810">
            <a:solidFill>
              <a:srgbClr xmlns:mc="http://schemas.openxmlformats.org/markup-compatibility/2006" xmlns:a14="http://schemas.microsoft.com/office/drawing/2010/main" val="000000" mc:Ignorable="a14" a14:legacySpreadsheetColorIndex="64"/>
            </a:solidFill>
            <a:round/>
            <a:headEnd/>
            <a:tailEnd/>
          </a:ln>
        </xdr:spPr>
      </xdr:sp>
    </xdr:grpSp>
    <xdr:clientData/>
  </xdr:twoCellAnchor>
  <xdr:twoCellAnchor>
    <xdr:from>
      <xdr:col>65</xdr:col>
      <xdr:colOff>131265</xdr:colOff>
      <xdr:row>39</xdr:row>
      <xdr:rowOff>40924</xdr:rowOff>
    </xdr:from>
    <xdr:to>
      <xdr:col>66</xdr:col>
      <xdr:colOff>291285</xdr:colOff>
      <xdr:row>42</xdr:row>
      <xdr:rowOff>82642</xdr:rowOff>
    </xdr:to>
    <xdr:sp macro="" textlink="">
      <xdr:nvSpPr>
        <xdr:cNvPr id="190" name="テキスト ボックス 189">
          <a:extLst>
            <a:ext uri="{FF2B5EF4-FFF2-40B4-BE49-F238E27FC236}">
              <a16:creationId xmlns:a16="http://schemas.microsoft.com/office/drawing/2014/main" id="{9A414AAF-319D-4F73-A67D-06C099AE2936}"/>
            </a:ext>
          </a:extLst>
        </xdr:cNvPr>
        <xdr:cNvSpPr txBox="1"/>
      </xdr:nvSpPr>
      <xdr:spPr>
        <a:xfrm>
          <a:off x="11408865" y="6530624"/>
          <a:ext cx="769620" cy="537018"/>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和室　　　　　</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65</xdr:col>
      <xdr:colOff>155446</xdr:colOff>
      <xdr:row>36</xdr:row>
      <xdr:rowOff>88933</xdr:rowOff>
    </xdr:from>
    <xdr:to>
      <xdr:col>66</xdr:col>
      <xdr:colOff>302350</xdr:colOff>
      <xdr:row>39</xdr:row>
      <xdr:rowOff>99552</xdr:rowOff>
    </xdr:to>
    <xdr:sp macro="" textlink="">
      <xdr:nvSpPr>
        <xdr:cNvPr id="191" name="テキスト ボックス 190">
          <a:extLst>
            <a:ext uri="{FF2B5EF4-FFF2-40B4-BE49-F238E27FC236}">
              <a16:creationId xmlns:a16="http://schemas.microsoft.com/office/drawing/2014/main" id="{6EA15539-7BD5-41E4-80C9-A6FF9EC5F5DE}"/>
            </a:ext>
          </a:extLst>
        </xdr:cNvPr>
        <xdr:cNvSpPr txBox="1"/>
      </xdr:nvSpPr>
      <xdr:spPr>
        <a:xfrm>
          <a:off x="11433046" y="6057933"/>
          <a:ext cx="756504" cy="53131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台所</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64</xdr:col>
      <xdr:colOff>275806</xdr:colOff>
      <xdr:row>34</xdr:row>
      <xdr:rowOff>40419</xdr:rowOff>
    </xdr:from>
    <xdr:to>
      <xdr:col>65</xdr:col>
      <xdr:colOff>389745</xdr:colOff>
      <xdr:row>37</xdr:row>
      <xdr:rowOff>50650</xdr:rowOff>
    </xdr:to>
    <xdr:sp macro="" textlink="">
      <xdr:nvSpPr>
        <xdr:cNvPr id="192" name="テキスト ボックス 191">
          <a:extLst>
            <a:ext uri="{FF2B5EF4-FFF2-40B4-BE49-F238E27FC236}">
              <a16:creationId xmlns:a16="http://schemas.microsoft.com/office/drawing/2014/main" id="{FC47B4FE-8A61-4ADD-AEC3-8D49939AA771}"/>
            </a:ext>
          </a:extLst>
        </xdr:cNvPr>
        <xdr:cNvSpPr txBox="1"/>
      </xdr:nvSpPr>
      <xdr:spPr>
        <a:xfrm>
          <a:off x="10994606" y="6085619"/>
          <a:ext cx="748939" cy="54363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居間</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65</xdr:col>
      <xdr:colOff>254871</xdr:colOff>
      <xdr:row>34</xdr:row>
      <xdr:rowOff>35511</xdr:rowOff>
    </xdr:from>
    <xdr:to>
      <xdr:col>66</xdr:col>
      <xdr:colOff>377616</xdr:colOff>
      <xdr:row>37</xdr:row>
      <xdr:rowOff>53907</xdr:rowOff>
    </xdr:to>
    <xdr:sp macro="" textlink="">
      <xdr:nvSpPr>
        <xdr:cNvPr id="193" name="テキスト ボックス 192">
          <a:extLst>
            <a:ext uri="{FF2B5EF4-FFF2-40B4-BE49-F238E27FC236}">
              <a16:creationId xmlns:a16="http://schemas.microsoft.com/office/drawing/2014/main" id="{B458198E-A742-4C9F-828D-536B3DCB9FDC}"/>
            </a:ext>
          </a:extLst>
        </xdr:cNvPr>
        <xdr:cNvSpPr txBox="1"/>
      </xdr:nvSpPr>
      <xdr:spPr>
        <a:xfrm>
          <a:off x="11608671" y="6080711"/>
          <a:ext cx="757745" cy="551796"/>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洋室</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66</xdr:col>
      <xdr:colOff>150619</xdr:colOff>
      <xdr:row>39</xdr:row>
      <xdr:rowOff>21892</xdr:rowOff>
    </xdr:from>
    <xdr:to>
      <xdr:col>67</xdr:col>
      <xdr:colOff>299112</xdr:colOff>
      <xdr:row>42</xdr:row>
      <xdr:rowOff>71429</xdr:rowOff>
    </xdr:to>
    <xdr:sp macro="" textlink="">
      <xdr:nvSpPr>
        <xdr:cNvPr id="194" name="テキスト ボックス 193">
          <a:extLst>
            <a:ext uri="{FF2B5EF4-FFF2-40B4-BE49-F238E27FC236}">
              <a16:creationId xmlns:a16="http://schemas.microsoft.com/office/drawing/2014/main" id="{7A6276FF-E602-4C30-99B9-3A92129148CE}"/>
            </a:ext>
          </a:extLst>
        </xdr:cNvPr>
        <xdr:cNvSpPr txBox="1"/>
      </xdr:nvSpPr>
      <xdr:spPr>
        <a:xfrm>
          <a:off x="12037819" y="6511592"/>
          <a:ext cx="758093" cy="544837"/>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縁側</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64</xdr:col>
      <xdr:colOff>139700</xdr:colOff>
      <xdr:row>36</xdr:row>
      <xdr:rowOff>125476</xdr:rowOff>
    </xdr:from>
    <xdr:to>
      <xdr:col>65</xdr:col>
      <xdr:colOff>280173</xdr:colOff>
      <xdr:row>39</xdr:row>
      <xdr:rowOff>133327</xdr:rowOff>
    </xdr:to>
    <xdr:sp macro="" textlink="">
      <xdr:nvSpPr>
        <xdr:cNvPr id="195" name="テキスト ボックス 194">
          <a:extLst>
            <a:ext uri="{FF2B5EF4-FFF2-40B4-BE49-F238E27FC236}">
              <a16:creationId xmlns:a16="http://schemas.microsoft.com/office/drawing/2014/main" id="{902DE0DC-EC16-46CF-8DEB-EE0B092CC1B1}"/>
            </a:ext>
          </a:extLst>
        </xdr:cNvPr>
        <xdr:cNvSpPr txBox="1"/>
      </xdr:nvSpPr>
      <xdr:spPr>
        <a:xfrm>
          <a:off x="10807700" y="6094476"/>
          <a:ext cx="750073" cy="52855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玄関</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64</xdr:col>
      <xdr:colOff>155548</xdr:colOff>
      <xdr:row>39</xdr:row>
      <xdr:rowOff>58937</xdr:rowOff>
    </xdr:from>
    <xdr:to>
      <xdr:col>65</xdr:col>
      <xdr:colOff>298743</xdr:colOff>
      <xdr:row>42</xdr:row>
      <xdr:rowOff>96949</xdr:rowOff>
    </xdr:to>
    <xdr:sp macro="" textlink="">
      <xdr:nvSpPr>
        <xdr:cNvPr id="196" name="テキスト ボックス 195">
          <a:extLst>
            <a:ext uri="{FF2B5EF4-FFF2-40B4-BE49-F238E27FC236}">
              <a16:creationId xmlns:a16="http://schemas.microsoft.com/office/drawing/2014/main" id="{71B540B9-2684-484E-8C64-736E3DC0C0EB}"/>
            </a:ext>
          </a:extLst>
        </xdr:cNvPr>
        <xdr:cNvSpPr txBox="1"/>
      </xdr:nvSpPr>
      <xdr:spPr>
        <a:xfrm>
          <a:off x="10823548" y="6548637"/>
          <a:ext cx="752795" cy="533312"/>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廊下</a:t>
          </a:r>
          <a:endParaRPr kumimoji="1" lang="en-US" altLang="ja-JP" sz="11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66</xdr:col>
      <xdr:colOff>256936</xdr:colOff>
      <xdr:row>34</xdr:row>
      <xdr:rowOff>53921</xdr:rowOff>
    </xdr:from>
    <xdr:to>
      <xdr:col>67</xdr:col>
      <xdr:colOff>380815</xdr:colOff>
      <xdr:row>37</xdr:row>
      <xdr:rowOff>69595</xdr:rowOff>
    </xdr:to>
    <xdr:sp macro="" textlink="">
      <xdr:nvSpPr>
        <xdr:cNvPr id="197" name="テキスト ボックス 196">
          <a:extLst>
            <a:ext uri="{FF2B5EF4-FFF2-40B4-BE49-F238E27FC236}">
              <a16:creationId xmlns:a16="http://schemas.microsoft.com/office/drawing/2014/main" id="{F3A82162-4EB6-4B03-AC6A-202186F0A0D7}"/>
            </a:ext>
          </a:extLst>
        </xdr:cNvPr>
        <xdr:cNvSpPr txBox="1"/>
      </xdr:nvSpPr>
      <xdr:spPr>
        <a:xfrm>
          <a:off x="12245736" y="6099121"/>
          <a:ext cx="758879" cy="549074"/>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脱衣室</a:t>
          </a:r>
          <a:endParaRPr kumimoji="1" lang="en-US" altLang="ja-JP"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67</xdr:col>
      <xdr:colOff>185349</xdr:colOff>
      <xdr:row>37</xdr:row>
      <xdr:rowOff>22948</xdr:rowOff>
    </xdr:from>
    <xdr:to>
      <xdr:col>68</xdr:col>
      <xdr:colOff>164961</xdr:colOff>
      <xdr:row>39</xdr:row>
      <xdr:rowOff>44310</xdr:rowOff>
    </xdr:to>
    <xdr:sp macro="" textlink="">
      <xdr:nvSpPr>
        <xdr:cNvPr id="198" name="テキスト ボックス 197">
          <a:extLst>
            <a:ext uri="{FF2B5EF4-FFF2-40B4-BE49-F238E27FC236}">
              <a16:creationId xmlns:a16="http://schemas.microsoft.com/office/drawing/2014/main" id="{64A270FC-0417-4F2D-91BA-002D204E2825}"/>
            </a:ext>
          </a:extLst>
        </xdr:cNvPr>
        <xdr:cNvSpPr txBox="1"/>
      </xdr:nvSpPr>
      <xdr:spPr>
        <a:xfrm>
          <a:off x="12682149" y="6157048"/>
          <a:ext cx="589212" cy="376962"/>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収納</a:t>
          </a:r>
          <a:endParaRPr kumimoji="1" lang="en-US" altLang="ja-JP" sz="9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67</xdr:col>
      <xdr:colOff>120121</xdr:colOff>
      <xdr:row>39</xdr:row>
      <xdr:rowOff>59907</xdr:rowOff>
    </xdr:from>
    <xdr:to>
      <xdr:col>68</xdr:col>
      <xdr:colOff>263880</xdr:colOff>
      <xdr:row>41</xdr:row>
      <xdr:rowOff>73070</xdr:rowOff>
    </xdr:to>
    <xdr:sp macro="" textlink="">
      <xdr:nvSpPr>
        <xdr:cNvPr id="199" name="テキスト ボックス 198">
          <a:extLst>
            <a:ext uri="{FF2B5EF4-FFF2-40B4-BE49-F238E27FC236}">
              <a16:creationId xmlns:a16="http://schemas.microsoft.com/office/drawing/2014/main" id="{3F8701BD-8652-4223-BF92-8AA348E8CDB4}"/>
            </a:ext>
          </a:extLst>
        </xdr:cNvPr>
        <xdr:cNvSpPr txBox="1"/>
      </xdr:nvSpPr>
      <xdr:spPr>
        <a:xfrm>
          <a:off x="12616921" y="6549607"/>
          <a:ext cx="753359" cy="343363"/>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押入</a:t>
          </a:r>
          <a:endParaRPr kumimoji="1" lang="en-US" altLang="ja-JP" sz="9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67</xdr:col>
      <xdr:colOff>578161</xdr:colOff>
      <xdr:row>24</xdr:row>
      <xdr:rowOff>137693</xdr:rowOff>
    </xdr:from>
    <xdr:to>
      <xdr:col>69</xdr:col>
      <xdr:colOff>54227</xdr:colOff>
      <xdr:row>24</xdr:row>
      <xdr:rowOff>137693</xdr:rowOff>
    </xdr:to>
    <xdr:cxnSp macro="">
      <xdr:nvCxnSpPr>
        <xdr:cNvPr id="200" name="直線矢印コネクタ 199">
          <a:extLst>
            <a:ext uri="{FF2B5EF4-FFF2-40B4-BE49-F238E27FC236}">
              <a16:creationId xmlns:a16="http://schemas.microsoft.com/office/drawing/2014/main" id="{EAD2D30E-9AEB-4880-9293-DA604F6B555A}"/>
            </a:ext>
          </a:extLst>
        </xdr:cNvPr>
        <xdr:cNvCxnSpPr/>
      </xdr:nvCxnSpPr>
      <xdr:spPr bwMode="auto">
        <a:xfrm>
          <a:off x="13074961" y="4100093"/>
          <a:ext cx="695266" cy="0"/>
        </a:xfrm>
        <a:prstGeom prst="straightConnector1">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66</xdr:col>
      <xdr:colOff>153109</xdr:colOff>
      <xdr:row>36</xdr:row>
      <xdr:rowOff>104813</xdr:rowOff>
    </xdr:from>
    <xdr:to>
      <xdr:col>67</xdr:col>
      <xdr:colOff>303976</xdr:colOff>
      <xdr:row>39</xdr:row>
      <xdr:rowOff>104193</xdr:rowOff>
    </xdr:to>
    <xdr:sp macro="" textlink="">
      <xdr:nvSpPr>
        <xdr:cNvPr id="201" name="テキスト ボックス 200">
          <a:extLst>
            <a:ext uri="{FF2B5EF4-FFF2-40B4-BE49-F238E27FC236}">
              <a16:creationId xmlns:a16="http://schemas.microsoft.com/office/drawing/2014/main" id="{42F9E11B-2725-4681-B8A5-81D185825BB0}"/>
            </a:ext>
          </a:extLst>
        </xdr:cNvPr>
        <xdr:cNvSpPr txBox="1"/>
      </xdr:nvSpPr>
      <xdr:spPr>
        <a:xfrm>
          <a:off x="12040309" y="6073813"/>
          <a:ext cx="760467" cy="520080"/>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勝手口</a:t>
          </a:r>
          <a:endParaRPr kumimoji="1" lang="en-US" altLang="ja-JP" sz="100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69</xdr:col>
      <xdr:colOff>585434</xdr:colOff>
      <xdr:row>48</xdr:row>
      <xdr:rowOff>81309</xdr:rowOff>
    </xdr:from>
    <xdr:to>
      <xdr:col>70</xdr:col>
      <xdr:colOff>61540</xdr:colOff>
      <xdr:row>49</xdr:row>
      <xdr:rowOff>9251</xdr:rowOff>
    </xdr:to>
    <xdr:sp macro="" textlink="">
      <xdr:nvSpPr>
        <xdr:cNvPr id="202" name="楕円 201">
          <a:extLst>
            <a:ext uri="{FF2B5EF4-FFF2-40B4-BE49-F238E27FC236}">
              <a16:creationId xmlns:a16="http://schemas.microsoft.com/office/drawing/2014/main" id="{DF13347C-8512-400A-B987-57A1428A8239}"/>
            </a:ext>
          </a:extLst>
        </xdr:cNvPr>
        <xdr:cNvSpPr/>
      </xdr:nvSpPr>
      <xdr:spPr bwMode="auto">
        <a:xfrm>
          <a:off x="14301434" y="7962566"/>
          <a:ext cx="85706" cy="91228"/>
        </a:xfrm>
        <a:prstGeom prst="ellipse">
          <a:avLst/>
        </a:prstGeom>
        <a:solidFill>
          <a:schemeClr val="accent6">
            <a:lumMod val="5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7737</xdr:colOff>
      <xdr:row>1</xdr:row>
      <xdr:rowOff>122892</xdr:rowOff>
    </xdr:from>
    <xdr:to>
      <xdr:col>74</xdr:col>
      <xdr:colOff>455623</xdr:colOff>
      <xdr:row>19</xdr:row>
      <xdr:rowOff>166399</xdr:rowOff>
    </xdr:to>
    <xdr:sp macro="" textlink="">
      <xdr:nvSpPr>
        <xdr:cNvPr id="203" name="テキスト ボックス 202">
          <a:extLst>
            <a:ext uri="{FF2B5EF4-FFF2-40B4-BE49-F238E27FC236}">
              <a16:creationId xmlns:a16="http://schemas.microsoft.com/office/drawing/2014/main" id="{81578C9E-21EA-4666-AE5E-02678666B2C1}"/>
            </a:ext>
          </a:extLst>
        </xdr:cNvPr>
        <xdr:cNvSpPr txBox="1"/>
      </xdr:nvSpPr>
      <xdr:spPr>
        <a:xfrm>
          <a:off x="14511137" y="300692"/>
          <a:ext cx="2886286" cy="32439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ja-JP" altLang="en-US">
              <a:solidFill>
                <a:srgbClr val="FF0000"/>
              </a:solidFill>
              <a:effectLst/>
            </a:rPr>
            <a:t>写真番号①</a:t>
          </a:r>
          <a:endParaRPr lang="en-US" altLang="ja-JP">
            <a:solidFill>
              <a:srgbClr val="FF0000"/>
            </a:solidFill>
            <a:effectLst/>
          </a:endParaRPr>
        </a:p>
        <a:p>
          <a:pPr algn="ctr"/>
          <a:endParaRPr lang="en-US" altLang="ja-JP">
            <a:effectLst/>
          </a:endParaRPr>
        </a:p>
        <a:p>
          <a:pPr algn="ctr"/>
          <a:endParaRPr lang="en-US" altLang="ja-JP">
            <a:effectLst/>
          </a:endParaRPr>
        </a:p>
        <a:p>
          <a:pPr algn="ctr"/>
          <a:r>
            <a:rPr lang="ja-JP" altLang="en-US">
              <a:solidFill>
                <a:srgbClr val="FF0000"/>
              </a:solidFill>
              <a:effectLst/>
            </a:rPr>
            <a:t>写真番号②</a:t>
          </a:r>
          <a:endParaRPr lang="en-US" altLang="ja-JP">
            <a:solidFill>
              <a:srgbClr val="FF0000"/>
            </a:solidFill>
            <a:effectLst/>
          </a:endParaRPr>
        </a:p>
        <a:p>
          <a:pPr algn="ctr"/>
          <a:endParaRPr lang="en-US" altLang="ja-JP">
            <a:effectLst/>
          </a:endParaRPr>
        </a:p>
        <a:p>
          <a:pPr algn="ctr"/>
          <a:endParaRPr lang="en-US" altLang="ja-JP">
            <a:effectLst/>
          </a:endParaRPr>
        </a:p>
        <a:p>
          <a:pPr algn="ctr"/>
          <a:r>
            <a:rPr lang="ja-JP" altLang="en-US">
              <a:solidFill>
                <a:srgbClr val="FF0000"/>
              </a:solidFill>
              <a:effectLst/>
            </a:rPr>
            <a:t>写真番号③</a:t>
          </a:r>
          <a:endParaRPr lang="en-US" altLang="ja-JP">
            <a:solidFill>
              <a:srgbClr val="FF0000"/>
            </a:solidFill>
            <a:effectLst/>
          </a:endParaRPr>
        </a:p>
        <a:p>
          <a:pPr algn="ctr"/>
          <a:endParaRPr lang="en-US" altLang="ja-JP">
            <a:effectLst/>
          </a:endParaRPr>
        </a:p>
        <a:p>
          <a:pPr algn="ctr"/>
          <a:endParaRPr lang="en-US" altLang="ja-JP">
            <a:effectLst/>
          </a:endParaRPr>
        </a:p>
        <a:p>
          <a:pPr algn="ctr"/>
          <a:r>
            <a:rPr lang="ja-JP" altLang="en-US">
              <a:solidFill>
                <a:srgbClr val="FF0000"/>
              </a:solidFill>
              <a:effectLst/>
            </a:rPr>
            <a:t>写真番号④</a:t>
          </a:r>
          <a:endParaRPr lang="en-US" altLang="ja-JP">
            <a:solidFill>
              <a:srgbClr val="FF0000"/>
            </a:solidFill>
            <a:effectLst/>
          </a:endParaRPr>
        </a:p>
        <a:p>
          <a:pPr algn="ctr"/>
          <a:endParaRPr lang="en-US" altLang="ja-JP">
            <a:effectLst/>
          </a:endParaRPr>
        </a:p>
        <a:p>
          <a:pPr algn="ctr"/>
          <a:endParaRPr lang="en-US" altLang="ja-JP">
            <a:effectLst/>
          </a:endParaRPr>
        </a:p>
        <a:p>
          <a:pPr algn="ctr"/>
          <a:r>
            <a:rPr lang="ja-JP" altLang="en-US">
              <a:solidFill>
                <a:srgbClr val="FF0000"/>
              </a:solidFill>
              <a:effectLst/>
            </a:rPr>
            <a:t>写真番号⑤</a:t>
          </a:r>
          <a:endParaRPr lang="en-US" altLang="ja-JP">
            <a:solidFill>
              <a:srgbClr val="FF0000"/>
            </a:solidFill>
            <a:effectLst/>
          </a:endParaRPr>
        </a:p>
        <a:p>
          <a:pPr algn="ctr"/>
          <a:endParaRPr lang="en-US" altLang="ja-JP">
            <a:effectLst/>
          </a:endParaRPr>
        </a:p>
        <a:p>
          <a:pPr algn="ctr"/>
          <a:endParaRPr lang="en-US" altLang="ja-JP">
            <a:effectLst/>
          </a:endParaRPr>
        </a:p>
        <a:p>
          <a:pPr algn="ctr"/>
          <a:endParaRPr lang="en-US" altLang="ja-JP">
            <a:effectLst/>
          </a:endParaRPr>
        </a:p>
      </xdr:txBody>
    </xdr:sp>
    <xdr:clientData/>
  </xdr:twoCellAnchor>
  <xdr:twoCellAnchor>
    <xdr:from>
      <xdr:col>70</xdr:col>
      <xdr:colOff>53825</xdr:colOff>
      <xdr:row>30</xdr:row>
      <xdr:rowOff>135490</xdr:rowOff>
    </xdr:from>
    <xdr:to>
      <xdr:col>71</xdr:col>
      <xdr:colOff>117696</xdr:colOff>
      <xdr:row>34</xdr:row>
      <xdr:rowOff>42601</xdr:rowOff>
    </xdr:to>
    <xdr:sp macro="" textlink="">
      <xdr:nvSpPr>
        <xdr:cNvPr id="204" name="テキスト ボックス 203">
          <a:extLst>
            <a:ext uri="{FF2B5EF4-FFF2-40B4-BE49-F238E27FC236}">
              <a16:creationId xmlns:a16="http://schemas.microsoft.com/office/drawing/2014/main" id="{9D9C851C-851C-46F6-8E21-B90BA7384A7C}"/>
            </a:ext>
          </a:extLst>
        </xdr:cNvPr>
        <xdr:cNvSpPr txBox="1"/>
      </xdr:nvSpPr>
      <xdr:spPr>
        <a:xfrm>
          <a:off x="14379425" y="5034061"/>
          <a:ext cx="673471" cy="571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①</a:t>
          </a:r>
        </a:p>
      </xdr:txBody>
    </xdr:sp>
    <xdr:clientData/>
  </xdr:twoCellAnchor>
  <xdr:twoCellAnchor>
    <xdr:from>
      <xdr:col>70</xdr:col>
      <xdr:colOff>546952</xdr:colOff>
      <xdr:row>43</xdr:row>
      <xdr:rowOff>131564</xdr:rowOff>
    </xdr:from>
    <xdr:to>
      <xdr:col>71</xdr:col>
      <xdr:colOff>47286</xdr:colOff>
      <xdr:row>43</xdr:row>
      <xdr:rowOff>132156</xdr:rowOff>
    </xdr:to>
    <xdr:cxnSp macro="">
      <xdr:nvCxnSpPr>
        <xdr:cNvPr id="205" name="直線コネクタ 204">
          <a:extLst>
            <a:ext uri="{FF2B5EF4-FFF2-40B4-BE49-F238E27FC236}">
              <a16:creationId xmlns:a16="http://schemas.microsoft.com/office/drawing/2014/main" id="{638E83BA-85E1-44B8-B066-F03C2FE3254B}"/>
            </a:ext>
          </a:extLst>
        </xdr:cNvPr>
        <xdr:cNvCxnSpPr/>
      </xdr:nvCxnSpPr>
      <xdr:spPr bwMode="auto">
        <a:xfrm flipV="1">
          <a:off x="14872552" y="7196393"/>
          <a:ext cx="109934" cy="592"/>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70</xdr:col>
      <xdr:colOff>275738</xdr:colOff>
      <xdr:row>28</xdr:row>
      <xdr:rowOff>119744</xdr:rowOff>
    </xdr:from>
    <xdr:to>
      <xdr:col>71</xdr:col>
      <xdr:colOff>108857</xdr:colOff>
      <xdr:row>30</xdr:row>
      <xdr:rowOff>152401</xdr:rowOff>
    </xdr:to>
    <xdr:sp macro="" textlink="">
      <xdr:nvSpPr>
        <xdr:cNvPr id="206" name="テキスト ボックス 205">
          <a:extLst>
            <a:ext uri="{FF2B5EF4-FFF2-40B4-BE49-F238E27FC236}">
              <a16:creationId xmlns:a16="http://schemas.microsoft.com/office/drawing/2014/main" id="{B9802307-F021-479A-85C7-B455DCD1DAE3}"/>
            </a:ext>
          </a:extLst>
        </xdr:cNvPr>
        <xdr:cNvSpPr txBox="1"/>
      </xdr:nvSpPr>
      <xdr:spPr>
        <a:xfrm>
          <a:off x="14601338" y="4691744"/>
          <a:ext cx="442719" cy="359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②</a:t>
          </a:r>
        </a:p>
      </xdr:txBody>
    </xdr:sp>
    <xdr:clientData/>
  </xdr:twoCellAnchor>
  <xdr:twoCellAnchor>
    <xdr:from>
      <xdr:col>71</xdr:col>
      <xdr:colOff>48241</xdr:colOff>
      <xdr:row>31</xdr:row>
      <xdr:rowOff>85487</xdr:rowOff>
    </xdr:from>
    <xdr:to>
      <xdr:col>71</xdr:col>
      <xdr:colOff>592656</xdr:colOff>
      <xdr:row>35</xdr:row>
      <xdr:rowOff>25785</xdr:rowOff>
    </xdr:to>
    <xdr:sp macro="" textlink="">
      <xdr:nvSpPr>
        <xdr:cNvPr id="207" name="テキスト ボックス 206">
          <a:extLst>
            <a:ext uri="{FF2B5EF4-FFF2-40B4-BE49-F238E27FC236}">
              <a16:creationId xmlns:a16="http://schemas.microsoft.com/office/drawing/2014/main" id="{44B85208-8D4F-48C8-AC92-034AC717D6DD}"/>
            </a:ext>
          </a:extLst>
        </xdr:cNvPr>
        <xdr:cNvSpPr txBox="1"/>
      </xdr:nvSpPr>
      <xdr:spPr>
        <a:xfrm>
          <a:off x="14983441" y="5147344"/>
          <a:ext cx="544415" cy="615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③</a:t>
          </a:r>
        </a:p>
      </xdr:txBody>
    </xdr:sp>
    <xdr:clientData/>
  </xdr:twoCellAnchor>
  <xdr:twoCellAnchor>
    <xdr:from>
      <xdr:col>71</xdr:col>
      <xdr:colOff>334306</xdr:colOff>
      <xdr:row>29</xdr:row>
      <xdr:rowOff>76395</xdr:rowOff>
    </xdr:from>
    <xdr:to>
      <xdr:col>72</xdr:col>
      <xdr:colOff>265759</xdr:colOff>
      <xdr:row>33</xdr:row>
      <xdr:rowOff>4039</xdr:rowOff>
    </xdr:to>
    <xdr:sp macro="" textlink="">
      <xdr:nvSpPr>
        <xdr:cNvPr id="208" name="テキスト ボックス 207">
          <a:extLst>
            <a:ext uri="{FF2B5EF4-FFF2-40B4-BE49-F238E27FC236}">
              <a16:creationId xmlns:a16="http://schemas.microsoft.com/office/drawing/2014/main" id="{A7650473-795B-48CC-B1D7-1568FC448F73}"/>
            </a:ext>
          </a:extLst>
        </xdr:cNvPr>
        <xdr:cNvSpPr txBox="1"/>
      </xdr:nvSpPr>
      <xdr:spPr>
        <a:xfrm>
          <a:off x="15269506" y="4811681"/>
          <a:ext cx="541053" cy="580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④</a:t>
          </a:r>
        </a:p>
      </xdr:txBody>
    </xdr:sp>
    <xdr:clientData/>
  </xdr:twoCellAnchor>
  <xdr:twoCellAnchor>
    <xdr:from>
      <xdr:col>72</xdr:col>
      <xdr:colOff>161015</xdr:colOff>
      <xdr:row>28</xdr:row>
      <xdr:rowOff>152293</xdr:rowOff>
    </xdr:from>
    <xdr:to>
      <xdr:col>73</xdr:col>
      <xdr:colOff>74216</xdr:colOff>
      <xdr:row>32</xdr:row>
      <xdr:rowOff>68422</xdr:rowOff>
    </xdr:to>
    <xdr:sp macro="" textlink="">
      <xdr:nvSpPr>
        <xdr:cNvPr id="209" name="テキスト ボックス 208">
          <a:extLst>
            <a:ext uri="{FF2B5EF4-FFF2-40B4-BE49-F238E27FC236}">
              <a16:creationId xmlns:a16="http://schemas.microsoft.com/office/drawing/2014/main" id="{B7310E39-8679-4E2F-9FE3-6534BC4308EC}"/>
            </a:ext>
          </a:extLst>
        </xdr:cNvPr>
        <xdr:cNvSpPr txBox="1"/>
      </xdr:nvSpPr>
      <xdr:spPr>
        <a:xfrm>
          <a:off x="15705815" y="4724293"/>
          <a:ext cx="522801" cy="56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⑥</a:t>
          </a:r>
        </a:p>
      </xdr:txBody>
    </xdr:sp>
    <xdr:clientData/>
  </xdr:twoCellAnchor>
  <xdr:twoCellAnchor>
    <xdr:from>
      <xdr:col>71</xdr:col>
      <xdr:colOff>561430</xdr:colOff>
      <xdr:row>31</xdr:row>
      <xdr:rowOff>86406</xdr:rowOff>
    </xdr:from>
    <xdr:to>
      <xdr:col>72</xdr:col>
      <xdr:colOff>534741</xdr:colOff>
      <xdr:row>35</xdr:row>
      <xdr:rowOff>29725</xdr:rowOff>
    </xdr:to>
    <xdr:sp macro="" textlink="">
      <xdr:nvSpPr>
        <xdr:cNvPr id="210" name="テキスト ボックス 209">
          <a:extLst>
            <a:ext uri="{FF2B5EF4-FFF2-40B4-BE49-F238E27FC236}">
              <a16:creationId xmlns:a16="http://schemas.microsoft.com/office/drawing/2014/main" id="{C96EBC4C-D185-446D-9480-B2ED091C2312}"/>
            </a:ext>
          </a:extLst>
        </xdr:cNvPr>
        <xdr:cNvSpPr txBox="1"/>
      </xdr:nvSpPr>
      <xdr:spPr>
        <a:xfrm>
          <a:off x="15496630" y="5148263"/>
          <a:ext cx="582911" cy="618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⑤</a:t>
          </a:r>
          <a:endParaRPr kumimoji="1" lang="en-US" altLang="ja-JP" sz="1200">
            <a:solidFill>
              <a:srgbClr val="FF0000"/>
            </a:solidFill>
          </a:endParaRPr>
        </a:p>
      </xdr:txBody>
    </xdr:sp>
    <xdr:clientData/>
  </xdr:twoCellAnchor>
  <xdr:twoCellAnchor>
    <xdr:from>
      <xdr:col>73</xdr:col>
      <xdr:colOff>276640</xdr:colOff>
      <xdr:row>31</xdr:row>
      <xdr:rowOff>97331</xdr:rowOff>
    </xdr:from>
    <xdr:to>
      <xdr:col>74</xdr:col>
      <xdr:colOff>248243</xdr:colOff>
      <xdr:row>34</xdr:row>
      <xdr:rowOff>164580</xdr:rowOff>
    </xdr:to>
    <xdr:sp macro="" textlink="">
      <xdr:nvSpPr>
        <xdr:cNvPr id="211" name="テキスト ボックス 210">
          <a:extLst>
            <a:ext uri="{FF2B5EF4-FFF2-40B4-BE49-F238E27FC236}">
              <a16:creationId xmlns:a16="http://schemas.microsoft.com/office/drawing/2014/main" id="{138BF0EC-C98C-4A00-84D1-9DB0056D1AF2}"/>
            </a:ext>
          </a:extLst>
        </xdr:cNvPr>
        <xdr:cNvSpPr txBox="1"/>
      </xdr:nvSpPr>
      <xdr:spPr>
        <a:xfrm>
          <a:off x="16431040" y="5159188"/>
          <a:ext cx="581203" cy="5679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⑨</a:t>
          </a:r>
        </a:p>
      </xdr:txBody>
    </xdr:sp>
    <xdr:clientData/>
  </xdr:twoCellAnchor>
  <xdr:twoCellAnchor>
    <xdr:from>
      <xdr:col>73</xdr:col>
      <xdr:colOff>4358</xdr:colOff>
      <xdr:row>29</xdr:row>
      <xdr:rowOff>47876</xdr:rowOff>
    </xdr:from>
    <xdr:to>
      <xdr:col>73</xdr:col>
      <xdr:colOff>517112</xdr:colOff>
      <xdr:row>32</xdr:row>
      <xdr:rowOff>135614</xdr:rowOff>
    </xdr:to>
    <xdr:sp macro="" textlink="">
      <xdr:nvSpPr>
        <xdr:cNvPr id="212" name="テキスト ボックス 211">
          <a:extLst>
            <a:ext uri="{FF2B5EF4-FFF2-40B4-BE49-F238E27FC236}">
              <a16:creationId xmlns:a16="http://schemas.microsoft.com/office/drawing/2014/main" id="{2195D566-C284-414B-AF71-0557F360C348}"/>
            </a:ext>
          </a:extLst>
        </xdr:cNvPr>
        <xdr:cNvSpPr txBox="1"/>
      </xdr:nvSpPr>
      <xdr:spPr>
        <a:xfrm>
          <a:off x="16158758" y="4783162"/>
          <a:ext cx="512754" cy="577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⑧</a:t>
          </a:r>
        </a:p>
      </xdr:txBody>
    </xdr:sp>
    <xdr:clientData/>
  </xdr:twoCellAnchor>
  <xdr:twoCellAnchor>
    <xdr:from>
      <xdr:col>72</xdr:col>
      <xdr:colOff>443256</xdr:colOff>
      <xdr:row>31</xdr:row>
      <xdr:rowOff>135788</xdr:rowOff>
    </xdr:from>
    <xdr:to>
      <xdr:col>73</xdr:col>
      <xdr:colOff>346412</xdr:colOff>
      <xdr:row>35</xdr:row>
      <xdr:rowOff>33192</xdr:rowOff>
    </xdr:to>
    <xdr:sp macro="" textlink="">
      <xdr:nvSpPr>
        <xdr:cNvPr id="213" name="テキスト ボックス 212">
          <a:extLst>
            <a:ext uri="{FF2B5EF4-FFF2-40B4-BE49-F238E27FC236}">
              <a16:creationId xmlns:a16="http://schemas.microsoft.com/office/drawing/2014/main" id="{021CB3B3-36DD-4363-A8F5-D5CAE9D63918}"/>
            </a:ext>
          </a:extLst>
        </xdr:cNvPr>
        <xdr:cNvSpPr txBox="1"/>
      </xdr:nvSpPr>
      <xdr:spPr>
        <a:xfrm>
          <a:off x="15988056" y="5197645"/>
          <a:ext cx="512756" cy="5723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200">
              <a:solidFill>
                <a:srgbClr val="FF0000"/>
              </a:solidFill>
            </a:rPr>
            <a:t>⑦</a:t>
          </a:r>
        </a:p>
      </xdr:txBody>
    </xdr:sp>
    <xdr:clientData/>
  </xdr:twoCellAnchor>
  <xdr:twoCellAnchor>
    <xdr:from>
      <xdr:col>71</xdr:col>
      <xdr:colOff>7364</xdr:colOff>
      <xdr:row>36</xdr:row>
      <xdr:rowOff>59932</xdr:rowOff>
    </xdr:from>
    <xdr:to>
      <xdr:col>71</xdr:col>
      <xdr:colOff>198911</xdr:colOff>
      <xdr:row>38</xdr:row>
      <xdr:rowOff>8783</xdr:rowOff>
    </xdr:to>
    <xdr:sp macro="" textlink="">
      <xdr:nvSpPr>
        <xdr:cNvPr id="214" name="フリーフォーム 201">
          <a:extLst>
            <a:ext uri="{FF2B5EF4-FFF2-40B4-BE49-F238E27FC236}">
              <a16:creationId xmlns:a16="http://schemas.microsoft.com/office/drawing/2014/main" id="{ADC3A686-E94E-4F3B-93C7-AD80921367E7}"/>
            </a:ext>
          </a:extLst>
        </xdr:cNvPr>
        <xdr:cNvSpPr/>
      </xdr:nvSpPr>
      <xdr:spPr bwMode="auto">
        <a:xfrm>
          <a:off x="14942564" y="5959989"/>
          <a:ext cx="191547" cy="286308"/>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71</xdr:col>
      <xdr:colOff>202187</xdr:colOff>
      <xdr:row>36</xdr:row>
      <xdr:rowOff>66655</xdr:rowOff>
    </xdr:from>
    <xdr:to>
      <xdr:col>71</xdr:col>
      <xdr:colOff>393733</xdr:colOff>
      <xdr:row>38</xdr:row>
      <xdr:rowOff>15506</xdr:rowOff>
    </xdr:to>
    <xdr:sp macro="" textlink="">
      <xdr:nvSpPr>
        <xdr:cNvPr id="215" name="フリーフォーム 202">
          <a:extLst>
            <a:ext uri="{FF2B5EF4-FFF2-40B4-BE49-F238E27FC236}">
              <a16:creationId xmlns:a16="http://schemas.microsoft.com/office/drawing/2014/main" id="{548B28BB-3981-480E-AE90-F2F2C4B17294}"/>
            </a:ext>
          </a:extLst>
        </xdr:cNvPr>
        <xdr:cNvSpPr/>
      </xdr:nvSpPr>
      <xdr:spPr bwMode="auto">
        <a:xfrm>
          <a:off x="15137387" y="5966712"/>
          <a:ext cx="191546" cy="286308"/>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71</xdr:col>
      <xdr:colOff>557072</xdr:colOff>
      <xdr:row>36</xdr:row>
      <xdr:rowOff>133774</xdr:rowOff>
    </xdr:from>
    <xdr:to>
      <xdr:col>72</xdr:col>
      <xdr:colOff>251067</xdr:colOff>
      <xdr:row>38</xdr:row>
      <xdr:rowOff>77928</xdr:rowOff>
    </xdr:to>
    <xdr:sp macro="" textlink="">
      <xdr:nvSpPr>
        <xdr:cNvPr id="216" name="フリーフォーム 203">
          <a:extLst>
            <a:ext uri="{FF2B5EF4-FFF2-40B4-BE49-F238E27FC236}">
              <a16:creationId xmlns:a16="http://schemas.microsoft.com/office/drawing/2014/main" id="{73401C87-E51C-4385-A8E6-58AA90CA5243}"/>
            </a:ext>
          </a:extLst>
        </xdr:cNvPr>
        <xdr:cNvSpPr/>
      </xdr:nvSpPr>
      <xdr:spPr bwMode="auto">
        <a:xfrm rot="16200000">
          <a:off x="15503264" y="6022839"/>
          <a:ext cx="281611" cy="303595"/>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72</xdr:col>
      <xdr:colOff>130649</xdr:colOff>
      <xdr:row>36</xdr:row>
      <xdr:rowOff>88095</xdr:rowOff>
    </xdr:from>
    <xdr:to>
      <xdr:col>72</xdr:col>
      <xdr:colOff>485128</xdr:colOff>
      <xdr:row>38</xdr:row>
      <xdr:rowOff>8611</xdr:rowOff>
    </xdr:to>
    <xdr:sp macro="" textlink="">
      <xdr:nvSpPr>
        <xdr:cNvPr id="217" name="フリーフォーム 204">
          <a:extLst>
            <a:ext uri="{FF2B5EF4-FFF2-40B4-BE49-F238E27FC236}">
              <a16:creationId xmlns:a16="http://schemas.microsoft.com/office/drawing/2014/main" id="{D3172A27-BB60-4A4C-A539-03C1FBEF30F0}"/>
            </a:ext>
          </a:extLst>
        </xdr:cNvPr>
        <xdr:cNvSpPr/>
      </xdr:nvSpPr>
      <xdr:spPr bwMode="auto">
        <a:xfrm rot="16200000">
          <a:off x="15723702" y="5939899"/>
          <a:ext cx="257973" cy="354479"/>
        </a:xfrm>
        <a:custGeom>
          <a:avLst/>
          <a:gdLst>
            <a:gd name="connsiteX0" fmla="*/ 0 w 293076"/>
            <a:gd name="connsiteY0" fmla="*/ 337038 h 337038"/>
            <a:gd name="connsiteX1" fmla="*/ 175846 w 293076"/>
            <a:gd name="connsiteY1" fmla="*/ 337038 h 337038"/>
            <a:gd name="connsiteX2" fmla="*/ 293076 w 293076"/>
            <a:gd name="connsiteY2" fmla="*/ 0 h 337038"/>
          </a:gdLst>
          <a:ahLst/>
          <a:cxnLst>
            <a:cxn ang="0">
              <a:pos x="connsiteX0" y="connsiteY0"/>
            </a:cxn>
            <a:cxn ang="0">
              <a:pos x="connsiteX1" y="connsiteY1"/>
            </a:cxn>
            <a:cxn ang="0">
              <a:pos x="connsiteX2" y="connsiteY2"/>
            </a:cxn>
          </a:cxnLst>
          <a:rect l="l" t="t" r="r" b="b"/>
          <a:pathLst>
            <a:path w="293076" h="337038">
              <a:moveTo>
                <a:pt x="0" y="337038"/>
              </a:moveTo>
              <a:lnTo>
                <a:pt x="175846" y="337038"/>
              </a:lnTo>
              <a:lnTo>
                <a:pt x="293076" y="0"/>
              </a:lnTo>
            </a:path>
          </a:pathLst>
        </a:custGeom>
        <a:noFill/>
        <a:ln w="31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67</xdr:col>
      <xdr:colOff>220989</xdr:colOff>
      <xdr:row>34</xdr:row>
      <xdr:rowOff>38233</xdr:rowOff>
    </xdr:from>
    <xdr:to>
      <xdr:col>68</xdr:col>
      <xdr:colOff>280500</xdr:colOff>
      <xdr:row>37</xdr:row>
      <xdr:rowOff>53907</xdr:rowOff>
    </xdr:to>
    <xdr:sp macro="" textlink="">
      <xdr:nvSpPr>
        <xdr:cNvPr id="218" name="テキスト ボックス 217">
          <a:extLst>
            <a:ext uri="{FF2B5EF4-FFF2-40B4-BE49-F238E27FC236}">
              <a16:creationId xmlns:a16="http://schemas.microsoft.com/office/drawing/2014/main" id="{29222E8B-8905-44D3-AE0E-8984D4D84235}"/>
            </a:ext>
          </a:extLst>
        </xdr:cNvPr>
        <xdr:cNvSpPr txBox="1"/>
      </xdr:nvSpPr>
      <xdr:spPr>
        <a:xfrm>
          <a:off x="12844789" y="6083433"/>
          <a:ext cx="694511" cy="549074"/>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寝室</a:t>
          </a:r>
          <a:endParaRPr kumimoji="1" lang="en-US" altLang="ja-JP"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68</xdr:col>
      <xdr:colOff>66334</xdr:colOff>
      <xdr:row>36</xdr:row>
      <xdr:rowOff>85123</xdr:rowOff>
    </xdr:from>
    <xdr:to>
      <xdr:col>69</xdr:col>
      <xdr:colOff>214830</xdr:colOff>
      <xdr:row>39</xdr:row>
      <xdr:rowOff>89946</xdr:rowOff>
    </xdr:to>
    <xdr:sp macro="" textlink="">
      <xdr:nvSpPr>
        <xdr:cNvPr id="219" name="テキスト ボックス 218">
          <a:extLst>
            <a:ext uri="{FF2B5EF4-FFF2-40B4-BE49-F238E27FC236}">
              <a16:creationId xmlns:a16="http://schemas.microsoft.com/office/drawing/2014/main" id="{231DBD1F-B820-45BE-B8D3-FBC21D8EE651}"/>
            </a:ext>
          </a:extLst>
        </xdr:cNvPr>
        <xdr:cNvSpPr txBox="1"/>
      </xdr:nvSpPr>
      <xdr:spPr>
        <a:xfrm>
          <a:off x="13172734" y="6054123"/>
          <a:ext cx="758096" cy="525523"/>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ポーチ</a:t>
          </a:r>
          <a:endParaRPr kumimoji="1" lang="en-US" altLang="ja-JP"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68</xdr:col>
      <xdr:colOff>61852</xdr:colOff>
      <xdr:row>38</xdr:row>
      <xdr:rowOff>149456</xdr:rowOff>
    </xdr:from>
    <xdr:to>
      <xdr:col>69</xdr:col>
      <xdr:colOff>210348</xdr:colOff>
      <xdr:row>42</xdr:row>
      <xdr:rowOff>29167</xdr:rowOff>
    </xdr:to>
    <xdr:sp macro="" textlink="">
      <xdr:nvSpPr>
        <xdr:cNvPr id="220" name="テキスト ボックス 219">
          <a:extLst>
            <a:ext uri="{FF2B5EF4-FFF2-40B4-BE49-F238E27FC236}">
              <a16:creationId xmlns:a16="http://schemas.microsoft.com/office/drawing/2014/main" id="{98AB4F04-559E-4AC8-A780-491A9FFC5012}"/>
            </a:ext>
          </a:extLst>
        </xdr:cNvPr>
        <xdr:cNvSpPr txBox="1"/>
      </xdr:nvSpPr>
      <xdr:spPr>
        <a:xfrm>
          <a:off x="13168252" y="6461356"/>
          <a:ext cx="758096" cy="552811"/>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駐車場</a:t>
          </a:r>
          <a:endParaRPr kumimoji="1" lang="en-US" altLang="ja-JP"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68</xdr:col>
      <xdr:colOff>156532</xdr:colOff>
      <xdr:row>34</xdr:row>
      <xdr:rowOff>14091</xdr:rowOff>
    </xdr:from>
    <xdr:to>
      <xdr:col>69</xdr:col>
      <xdr:colOff>242311</xdr:colOff>
      <xdr:row>37</xdr:row>
      <xdr:rowOff>40460</xdr:rowOff>
    </xdr:to>
    <xdr:sp macro="" textlink="">
      <xdr:nvSpPr>
        <xdr:cNvPr id="221" name="テキスト ボックス 220">
          <a:extLst>
            <a:ext uri="{FF2B5EF4-FFF2-40B4-BE49-F238E27FC236}">
              <a16:creationId xmlns:a16="http://schemas.microsoft.com/office/drawing/2014/main" id="{28F9FBFA-D438-4208-B2B4-6FBC94C17C62}"/>
            </a:ext>
          </a:extLst>
        </xdr:cNvPr>
        <xdr:cNvSpPr txBox="1"/>
      </xdr:nvSpPr>
      <xdr:spPr>
        <a:xfrm>
          <a:off x="13415332" y="6059291"/>
          <a:ext cx="720779" cy="559769"/>
        </a:xfrm>
        <a:prstGeom prst="rect">
          <a:avLst/>
        </a:prstGeom>
        <a:noFill/>
        <a:ln w="9525" cmpd="sng">
          <a:noFill/>
        </a:ln>
        <a:effectLst/>
      </xdr:spPr>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rPr>
            <a:t>母屋</a:t>
          </a:r>
          <a:endParaRPr kumimoji="1" lang="en-US" altLang="ja-JP" sz="1050" b="0" i="0" u="none" strike="noStrike" kern="0" cap="none" spc="0" normalizeH="0" baseline="0" noProof="0">
            <a:ln>
              <a:noFill/>
            </a:ln>
            <a:solidFill>
              <a:sysClr val="windowText" lastClr="000000"/>
            </a:solidFill>
            <a:effectLst/>
            <a:uLnTx/>
            <a:uFillTx/>
            <a:latin typeface="Calibri"/>
            <a:ea typeface="ＭＳ Ｐゴシック" panose="020B0600070205080204" pitchFamily="50" charset="-128"/>
            <a:cs typeface="+mn-cs"/>
          </a:endParaRPr>
        </a:p>
      </xdr:txBody>
    </xdr:sp>
    <xdr:clientData/>
  </xdr:twoCellAnchor>
  <xdr:twoCellAnchor>
    <xdr:from>
      <xdr:col>66</xdr:col>
      <xdr:colOff>27622</xdr:colOff>
      <xdr:row>27</xdr:row>
      <xdr:rowOff>39438</xdr:rowOff>
    </xdr:from>
    <xdr:to>
      <xdr:col>67</xdr:col>
      <xdr:colOff>51766</xdr:colOff>
      <xdr:row>27</xdr:row>
      <xdr:rowOff>72457</xdr:rowOff>
    </xdr:to>
    <xdr:grpSp>
      <xdr:nvGrpSpPr>
        <xdr:cNvPr id="222" name="グループ化 221">
          <a:extLst>
            <a:ext uri="{FF2B5EF4-FFF2-40B4-BE49-F238E27FC236}">
              <a16:creationId xmlns:a16="http://schemas.microsoft.com/office/drawing/2014/main" id="{CC617D3C-33F0-4E91-A170-4D6790FBE0FB}"/>
            </a:ext>
          </a:extLst>
        </xdr:cNvPr>
        <xdr:cNvGrpSpPr/>
      </xdr:nvGrpSpPr>
      <xdr:grpSpPr>
        <a:xfrm rot="10800000" flipV="1">
          <a:off x="11854497" y="4540001"/>
          <a:ext cx="643269" cy="33019"/>
          <a:chOff x="6858000" y="4124324"/>
          <a:chExt cx="762000" cy="132159"/>
        </a:xfrm>
      </xdr:grpSpPr>
      <xdr:sp macro="" textlink="">
        <xdr:nvSpPr>
          <xdr:cNvPr id="223" name="正方形/長方形 222">
            <a:extLst>
              <a:ext uri="{FF2B5EF4-FFF2-40B4-BE49-F238E27FC236}">
                <a16:creationId xmlns:a16="http://schemas.microsoft.com/office/drawing/2014/main" id="{30EB978E-4E8C-7027-8DE5-E7178248AF55}"/>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224" name="直線 2166">
            <a:extLst>
              <a:ext uri="{FF2B5EF4-FFF2-40B4-BE49-F238E27FC236}">
                <a16:creationId xmlns:a16="http://schemas.microsoft.com/office/drawing/2014/main" id="{EE3FCA49-C698-231B-37A1-FC0667200EE4}"/>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5" name="直線 2167">
            <a:extLst>
              <a:ext uri="{FF2B5EF4-FFF2-40B4-BE49-F238E27FC236}">
                <a16:creationId xmlns:a16="http://schemas.microsoft.com/office/drawing/2014/main" id="{80DE8278-9B59-F75F-92E4-3C93E2637BEF}"/>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6" name="直線 2167">
            <a:extLst>
              <a:ext uri="{FF2B5EF4-FFF2-40B4-BE49-F238E27FC236}">
                <a16:creationId xmlns:a16="http://schemas.microsoft.com/office/drawing/2014/main" id="{44B3D08F-3CE3-D6CF-76EF-1D3AEE8274F5}"/>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67</xdr:col>
      <xdr:colOff>571945</xdr:colOff>
      <xdr:row>26</xdr:row>
      <xdr:rowOff>39247</xdr:rowOff>
    </xdr:from>
    <xdr:to>
      <xdr:col>68</xdr:col>
      <xdr:colOff>607447</xdr:colOff>
      <xdr:row>26</xdr:row>
      <xdr:rowOff>78576</xdr:rowOff>
    </xdr:to>
    <xdr:grpSp>
      <xdr:nvGrpSpPr>
        <xdr:cNvPr id="227" name="片引・縦・下～上・右">
          <a:extLst>
            <a:ext uri="{FF2B5EF4-FFF2-40B4-BE49-F238E27FC236}">
              <a16:creationId xmlns:a16="http://schemas.microsoft.com/office/drawing/2014/main" id="{A95374D2-1CF8-48F9-A580-9055B73DD1FB}"/>
            </a:ext>
          </a:extLst>
        </xdr:cNvPr>
        <xdr:cNvGrpSpPr>
          <a:grpSpLocks/>
        </xdr:cNvGrpSpPr>
      </xdr:nvGrpSpPr>
      <xdr:grpSpPr bwMode="auto">
        <a:xfrm rot="5400000">
          <a:off x="13325594" y="4065473"/>
          <a:ext cx="39329" cy="654627"/>
          <a:chOff x="1193" y="536"/>
          <a:chExt cx="8" cy="68"/>
        </a:xfrm>
      </xdr:grpSpPr>
      <xdr:sp macro="" textlink="">
        <xdr:nvSpPr>
          <xdr:cNvPr id="228" name="四角形 340">
            <a:extLst>
              <a:ext uri="{FF2B5EF4-FFF2-40B4-BE49-F238E27FC236}">
                <a16:creationId xmlns:a16="http://schemas.microsoft.com/office/drawing/2014/main" id="{65B2508B-859A-3ECB-308A-33E85FD9206B}"/>
              </a:ext>
            </a:extLst>
          </xdr:cNvPr>
          <xdr:cNvSpPr>
            <a:spLocks noChangeArrowheads="1"/>
          </xdr:cNvSpPr>
        </xdr:nvSpPr>
        <xdr:spPr bwMode="auto">
          <a:xfrm rot="5400000" flipH="1">
            <a:off x="1163" y="566"/>
            <a:ext cx="68" cy="8"/>
          </a:xfrm>
          <a:prstGeom prst="rect">
            <a:avLst/>
          </a:prstGeom>
          <a:solidFill>
            <a:srgbClr xmlns:mc="http://schemas.openxmlformats.org/markup-compatibility/2006" xmlns:a14="http://schemas.microsoft.com/office/drawing/2010/main" val="FFFFFF" mc:Ignorable="a14" a14:legacySpreadsheetColorIndex="9"/>
          </a:solidFill>
          <a:ln w="3810">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29" name="直線 342">
            <a:extLst>
              <a:ext uri="{FF2B5EF4-FFF2-40B4-BE49-F238E27FC236}">
                <a16:creationId xmlns:a16="http://schemas.microsoft.com/office/drawing/2014/main" id="{0F7D79A0-E233-0631-7781-D771CE49CA1C}"/>
              </a:ext>
            </a:extLst>
          </xdr:cNvPr>
          <xdr:cNvSpPr>
            <a:spLocks noChangeShapeType="1"/>
          </xdr:cNvSpPr>
        </xdr:nvSpPr>
        <xdr:spPr bwMode="auto">
          <a:xfrm rot="5400000" flipH="1">
            <a:off x="1181" y="587"/>
            <a:ext cx="34"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0" name="直線 343">
            <a:extLst>
              <a:ext uri="{FF2B5EF4-FFF2-40B4-BE49-F238E27FC236}">
                <a16:creationId xmlns:a16="http://schemas.microsoft.com/office/drawing/2014/main" id="{28657F14-4F19-8DCC-8095-4068998AD2C8}"/>
              </a:ext>
            </a:extLst>
          </xdr:cNvPr>
          <xdr:cNvSpPr>
            <a:spLocks noChangeShapeType="1"/>
          </xdr:cNvSpPr>
        </xdr:nvSpPr>
        <xdr:spPr bwMode="auto">
          <a:xfrm rot="5400000" flipH="1">
            <a:off x="1183" y="551"/>
            <a:ext cx="30" cy="0"/>
          </a:xfrm>
          <a:prstGeom prst="line">
            <a:avLst/>
          </a:prstGeom>
          <a:noFill/>
          <a:ln w="381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1" name="直線 681">
            <a:extLst>
              <a:ext uri="{FF2B5EF4-FFF2-40B4-BE49-F238E27FC236}">
                <a16:creationId xmlns:a16="http://schemas.microsoft.com/office/drawing/2014/main" id="{DFC8A4C6-D5F6-8520-31B7-5A005122F171}"/>
              </a:ext>
            </a:extLst>
          </xdr:cNvPr>
          <xdr:cNvSpPr>
            <a:spLocks noChangeShapeType="1"/>
          </xdr:cNvSpPr>
        </xdr:nvSpPr>
        <xdr:spPr bwMode="auto">
          <a:xfrm>
            <a:off x="1194" y="536"/>
            <a:ext cx="0" cy="34"/>
          </a:xfrm>
          <a:prstGeom prst="line">
            <a:avLst/>
          </a:prstGeom>
          <a:noFill/>
          <a:ln w="25400" cmpd="dbl">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67</xdr:col>
      <xdr:colOff>595233</xdr:colOff>
      <xdr:row>27</xdr:row>
      <xdr:rowOff>152895</xdr:rowOff>
    </xdr:from>
    <xdr:to>
      <xdr:col>69</xdr:col>
      <xdr:colOff>21135</xdr:colOff>
      <xdr:row>28</xdr:row>
      <xdr:rowOff>31019</xdr:rowOff>
    </xdr:to>
    <xdr:grpSp>
      <xdr:nvGrpSpPr>
        <xdr:cNvPr id="232" name="片引・縦・下～上・右">
          <a:extLst>
            <a:ext uri="{FF2B5EF4-FFF2-40B4-BE49-F238E27FC236}">
              <a16:creationId xmlns:a16="http://schemas.microsoft.com/office/drawing/2014/main" id="{4D14D23F-3AAC-4D37-8242-65DD35EB7B94}"/>
            </a:ext>
          </a:extLst>
        </xdr:cNvPr>
        <xdr:cNvGrpSpPr>
          <a:grpSpLocks/>
        </xdr:cNvGrpSpPr>
      </xdr:nvGrpSpPr>
      <xdr:grpSpPr bwMode="auto">
        <a:xfrm rot="5400000">
          <a:off x="13350903" y="4343788"/>
          <a:ext cx="44811" cy="664152"/>
          <a:chOff x="1193" y="536"/>
          <a:chExt cx="8" cy="68"/>
        </a:xfrm>
      </xdr:grpSpPr>
      <xdr:sp macro="" textlink="">
        <xdr:nvSpPr>
          <xdr:cNvPr id="233" name="四角形 340">
            <a:extLst>
              <a:ext uri="{FF2B5EF4-FFF2-40B4-BE49-F238E27FC236}">
                <a16:creationId xmlns:a16="http://schemas.microsoft.com/office/drawing/2014/main" id="{B7E8F137-5785-8008-2517-4F41781855B9}"/>
              </a:ext>
            </a:extLst>
          </xdr:cNvPr>
          <xdr:cNvSpPr>
            <a:spLocks noChangeArrowheads="1"/>
          </xdr:cNvSpPr>
        </xdr:nvSpPr>
        <xdr:spPr bwMode="auto">
          <a:xfrm rot="5400000" flipH="1">
            <a:off x="1163" y="566"/>
            <a:ext cx="68" cy="8"/>
          </a:xfrm>
          <a:prstGeom prst="rect">
            <a:avLst/>
          </a:prstGeom>
          <a:solidFill>
            <a:srgbClr xmlns:mc="http://schemas.openxmlformats.org/markup-compatibility/2006" xmlns:a14="http://schemas.microsoft.com/office/drawing/2010/main" val="FFFFFF" mc:Ignorable="a14" a14:legacySpreadsheetColorIndex="9"/>
          </a:solidFill>
          <a:ln w="3810">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34" name="直線 342">
            <a:extLst>
              <a:ext uri="{FF2B5EF4-FFF2-40B4-BE49-F238E27FC236}">
                <a16:creationId xmlns:a16="http://schemas.microsoft.com/office/drawing/2014/main" id="{468E9C4D-0C5C-EDF3-CF4F-D1771E1675D5}"/>
              </a:ext>
            </a:extLst>
          </xdr:cNvPr>
          <xdr:cNvSpPr>
            <a:spLocks noChangeShapeType="1"/>
          </xdr:cNvSpPr>
        </xdr:nvSpPr>
        <xdr:spPr bwMode="auto">
          <a:xfrm rot="5400000" flipH="1">
            <a:off x="1181" y="587"/>
            <a:ext cx="34"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5" name="直線 343">
            <a:extLst>
              <a:ext uri="{FF2B5EF4-FFF2-40B4-BE49-F238E27FC236}">
                <a16:creationId xmlns:a16="http://schemas.microsoft.com/office/drawing/2014/main" id="{A4A05F72-AD95-A96F-216B-0EE9B5B3BB7B}"/>
              </a:ext>
            </a:extLst>
          </xdr:cNvPr>
          <xdr:cNvSpPr>
            <a:spLocks noChangeShapeType="1"/>
          </xdr:cNvSpPr>
        </xdr:nvSpPr>
        <xdr:spPr bwMode="auto">
          <a:xfrm rot="5400000" flipH="1">
            <a:off x="1183" y="551"/>
            <a:ext cx="30" cy="0"/>
          </a:xfrm>
          <a:prstGeom prst="line">
            <a:avLst/>
          </a:prstGeom>
          <a:noFill/>
          <a:ln w="381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36" name="直線 681">
            <a:extLst>
              <a:ext uri="{FF2B5EF4-FFF2-40B4-BE49-F238E27FC236}">
                <a16:creationId xmlns:a16="http://schemas.microsoft.com/office/drawing/2014/main" id="{7477A639-AA49-FC2C-499F-8055E9AA440F}"/>
              </a:ext>
            </a:extLst>
          </xdr:cNvPr>
          <xdr:cNvSpPr>
            <a:spLocks noChangeShapeType="1"/>
          </xdr:cNvSpPr>
        </xdr:nvSpPr>
        <xdr:spPr bwMode="auto">
          <a:xfrm>
            <a:off x="1194" y="536"/>
            <a:ext cx="0" cy="34"/>
          </a:xfrm>
          <a:prstGeom prst="line">
            <a:avLst/>
          </a:prstGeom>
          <a:noFill/>
          <a:ln w="25400" cmpd="dbl">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67</xdr:col>
      <xdr:colOff>573699</xdr:colOff>
      <xdr:row>29</xdr:row>
      <xdr:rowOff>79544</xdr:rowOff>
    </xdr:from>
    <xdr:to>
      <xdr:col>68</xdr:col>
      <xdr:colOff>609200</xdr:colOff>
      <xdr:row>29</xdr:row>
      <xdr:rowOff>141401</xdr:rowOff>
    </xdr:to>
    <xdr:grpSp>
      <xdr:nvGrpSpPr>
        <xdr:cNvPr id="237" name="片引・縦・下～上・右">
          <a:extLst>
            <a:ext uri="{FF2B5EF4-FFF2-40B4-BE49-F238E27FC236}">
              <a16:creationId xmlns:a16="http://schemas.microsoft.com/office/drawing/2014/main" id="{561FC025-1250-4164-A07A-A49864DFC2E3}"/>
            </a:ext>
          </a:extLst>
        </xdr:cNvPr>
        <xdr:cNvGrpSpPr>
          <a:grpSpLocks/>
        </xdr:cNvGrpSpPr>
      </xdr:nvGrpSpPr>
      <xdr:grpSpPr bwMode="auto">
        <a:xfrm rot="5400000">
          <a:off x="13316083" y="4617098"/>
          <a:ext cx="61857" cy="654626"/>
          <a:chOff x="1193" y="536"/>
          <a:chExt cx="8" cy="68"/>
        </a:xfrm>
      </xdr:grpSpPr>
      <xdr:sp macro="" textlink="">
        <xdr:nvSpPr>
          <xdr:cNvPr id="238" name="四角形 340">
            <a:extLst>
              <a:ext uri="{FF2B5EF4-FFF2-40B4-BE49-F238E27FC236}">
                <a16:creationId xmlns:a16="http://schemas.microsoft.com/office/drawing/2014/main" id="{7BE9F430-8F51-BE74-B515-40DD9B033BDE}"/>
              </a:ext>
            </a:extLst>
          </xdr:cNvPr>
          <xdr:cNvSpPr>
            <a:spLocks noChangeArrowheads="1"/>
          </xdr:cNvSpPr>
        </xdr:nvSpPr>
        <xdr:spPr bwMode="auto">
          <a:xfrm rot="5400000" flipH="1">
            <a:off x="1163" y="566"/>
            <a:ext cx="68" cy="8"/>
          </a:xfrm>
          <a:prstGeom prst="rect">
            <a:avLst/>
          </a:prstGeom>
          <a:solidFill>
            <a:srgbClr xmlns:mc="http://schemas.openxmlformats.org/markup-compatibility/2006" xmlns:a14="http://schemas.microsoft.com/office/drawing/2010/main" val="FFFFFF" mc:Ignorable="a14" a14:legacySpreadsheetColorIndex="9"/>
          </a:solidFill>
          <a:ln w="3810">
            <a:solidFill>
              <a:srgbClr xmlns:mc="http://schemas.openxmlformats.org/markup-compatibility/2006" xmlns:a14="http://schemas.microsoft.com/office/drawing/2010/main" val="000000" mc:Ignorable="a14" a14:legacySpreadsheetColorIndex="64"/>
            </a:solidFill>
            <a:miter lim="800000"/>
            <a:headEnd/>
            <a:tailEnd/>
          </a:ln>
        </xdr:spPr>
      </xdr:sp>
      <xdr:sp macro="" textlink="">
        <xdr:nvSpPr>
          <xdr:cNvPr id="239" name="直線 342">
            <a:extLst>
              <a:ext uri="{FF2B5EF4-FFF2-40B4-BE49-F238E27FC236}">
                <a16:creationId xmlns:a16="http://schemas.microsoft.com/office/drawing/2014/main" id="{2427137A-BC84-6AFB-B665-7D92B2E11EC7}"/>
              </a:ext>
            </a:extLst>
          </xdr:cNvPr>
          <xdr:cNvSpPr>
            <a:spLocks noChangeShapeType="1"/>
          </xdr:cNvSpPr>
        </xdr:nvSpPr>
        <xdr:spPr bwMode="auto">
          <a:xfrm rot="5400000" flipH="1">
            <a:off x="1181" y="587"/>
            <a:ext cx="34"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0" name="直線 343">
            <a:extLst>
              <a:ext uri="{FF2B5EF4-FFF2-40B4-BE49-F238E27FC236}">
                <a16:creationId xmlns:a16="http://schemas.microsoft.com/office/drawing/2014/main" id="{52DAAAE4-9239-EB73-18CD-92657658CB68}"/>
              </a:ext>
            </a:extLst>
          </xdr:cNvPr>
          <xdr:cNvSpPr>
            <a:spLocks noChangeShapeType="1"/>
          </xdr:cNvSpPr>
        </xdr:nvSpPr>
        <xdr:spPr bwMode="auto">
          <a:xfrm rot="5400000" flipH="1">
            <a:off x="1183" y="551"/>
            <a:ext cx="30" cy="0"/>
          </a:xfrm>
          <a:prstGeom prst="line">
            <a:avLst/>
          </a:prstGeom>
          <a:noFill/>
          <a:ln w="3810">
            <a:solidFill>
              <a:srgbClr xmlns:mc="http://schemas.openxmlformats.org/markup-compatibility/2006" xmlns:a14="http://schemas.microsoft.com/office/drawing/2010/main" val="000000" mc:Ignorable="a14" a14:legacySpreadsheetColorIndex="64"/>
            </a:solidFill>
            <a:prstDash val="dash"/>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1" name="直線 681">
            <a:extLst>
              <a:ext uri="{FF2B5EF4-FFF2-40B4-BE49-F238E27FC236}">
                <a16:creationId xmlns:a16="http://schemas.microsoft.com/office/drawing/2014/main" id="{8F2FD867-7AD5-4A6F-06CC-6E55B62ECF50}"/>
              </a:ext>
            </a:extLst>
          </xdr:cNvPr>
          <xdr:cNvSpPr>
            <a:spLocks noChangeShapeType="1"/>
          </xdr:cNvSpPr>
        </xdr:nvSpPr>
        <xdr:spPr bwMode="auto">
          <a:xfrm>
            <a:off x="1194" y="536"/>
            <a:ext cx="0" cy="34"/>
          </a:xfrm>
          <a:prstGeom prst="line">
            <a:avLst/>
          </a:prstGeom>
          <a:noFill/>
          <a:ln w="25400" cmpd="dbl">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66</xdr:col>
      <xdr:colOff>45551</xdr:colOff>
      <xdr:row>28</xdr:row>
      <xdr:rowOff>66529</xdr:rowOff>
    </xdr:from>
    <xdr:to>
      <xdr:col>67</xdr:col>
      <xdr:colOff>69695</xdr:colOff>
      <xdr:row>28</xdr:row>
      <xdr:rowOff>103443</xdr:rowOff>
    </xdr:to>
    <xdr:grpSp>
      <xdr:nvGrpSpPr>
        <xdr:cNvPr id="242" name="グループ化 241">
          <a:extLst>
            <a:ext uri="{FF2B5EF4-FFF2-40B4-BE49-F238E27FC236}">
              <a16:creationId xmlns:a16="http://schemas.microsoft.com/office/drawing/2014/main" id="{BAFBD8FB-1531-4C29-8835-974189B5D196}"/>
            </a:ext>
          </a:extLst>
        </xdr:cNvPr>
        <xdr:cNvGrpSpPr/>
      </xdr:nvGrpSpPr>
      <xdr:grpSpPr>
        <a:xfrm rot="10800000" flipV="1">
          <a:off x="11872426" y="4733779"/>
          <a:ext cx="643269" cy="36914"/>
          <a:chOff x="6858000" y="4124324"/>
          <a:chExt cx="762000" cy="132159"/>
        </a:xfrm>
      </xdr:grpSpPr>
      <xdr:sp macro="" textlink="">
        <xdr:nvSpPr>
          <xdr:cNvPr id="243" name="正方形/長方形 242">
            <a:extLst>
              <a:ext uri="{FF2B5EF4-FFF2-40B4-BE49-F238E27FC236}">
                <a16:creationId xmlns:a16="http://schemas.microsoft.com/office/drawing/2014/main" id="{A0868EA0-B5E5-080D-7C6A-B6F1C8BFD7EA}"/>
              </a:ext>
            </a:extLst>
          </xdr:cNvPr>
          <xdr:cNvSpPr/>
        </xdr:nvSpPr>
        <xdr:spPr bwMode="auto">
          <a:xfrm>
            <a:off x="6858000" y="4143376"/>
            <a:ext cx="762000" cy="89296"/>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244" name="直線 2166">
            <a:extLst>
              <a:ext uri="{FF2B5EF4-FFF2-40B4-BE49-F238E27FC236}">
                <a16:creationId xmlns:a16="http://schemas.microsoft.com/office/drawing/2014/main" id="{E9E2F10F-41DE-D854-33BD-2A12194CE090}"/>
              </a:ext>
            </a:extLst>
          </xdr:cNvPr>
          <xdr:cNvSpPr>
            <a:spLocks noChangeShapeType="1"/>
          </xdr:cNvSpPr>
        </xdr:nvSpPr>
        <xdr:spPr bwMode="auto">
          <a:xfrm>
            <a:off x="7241247" y="4124324"/>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5" name="直線 2167">
            <a:extLst>
              <a:ext uri="{FF2B5EF4-FFF2-40B4-BE49-F238E27FC236}">
                <a16:creationId xmlns:a16="http://schemas.microsoft.com/office/drawing/2014/main" id="{59F41EBA-68EA-FCD2-C8CA-4BE1C3FAC6FE}"/>
              </a:ext>
            </a:extLst>
          </xdr:cNvPr>
          <xdr:cNvSpPr>
            <a:spLocks noChangeShapeType="1"/>
          </xdr:cNvSpPr>
        </xdr:nvSpPr>
        <xdr:spPr bwMode="auto">
          <a:xfrm flipH="1">
            <a:off x="6858000" y="418434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46" name="直線 2167">
            <a:extLst>
              <a:ext uri="{FF2B5EF4-FFF2-40B4-BE49-F238E27FC236}">
                <a16:creationId xmlns:a16="http://schemas.microsoft.com/office/drawing/2014/main" id="{C4007D47-73A6-1EF0-D984-77474E37329D}"/>
              </a:ext>
            </a:extLst>
          </xdr:cNvPr>
          <xdr:cNvSpPr>
            <a:spLocks noChangeShapeType="1"/>
          </xdr:cNvSpPr>
        </xdr:nvSpPr>
        <xdr:spPr bwMode="auto">
          <a:xfrm flipH="1">
            <a:off x="7179469" y="4202906"/>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grpSp>
    <xdr:clientData/>
  </xdr:twoCellAnchor>
  <xdr:twoCellAnchor>
    <xdr:from>
      <xdr:col>66</xdr:col>
      <xdr:colOff>281731</xdr:colOff>
      <xdr:row>32</xdr:row>
      <xdr:rowOff>52498</xdr:rowOff>
    </xdr:from>
    <xdr:to>
      <xdr:col>68</xdr:col>
      <xdr:colOff>382591</xdr:colOff>
      <xdr:row>32</xdr:row>
      <xdr:rowOff>89770</xdr:rowOff>
    </xdr:to>
    <xdr:grpSp>
      <xdr:nvGrpSpPr>
        <xdr:cNvPr id="247" name="グループ化 246">
          <a:extLst>
            <a:ext uri="{FF2B5EF4-FFF2-40B4-BE49-F238E27FC236}">
              <a16:creationId xmlns:a16="http://schemas.microsoft.com/office/drawing/2014/main" id="{AB03F074-9FC4-4EB2-BD41-441A11C73D38}"/>
            </a:ext>
          </a:extLst>
        </xdr:cNvPr>
        <xdr:cNvGrpSpPr/>
      </xdr:nvGrpSpPr>
      <xdr:grpSpPr>
        <a:xfrm flipV="1">
          <a:off x="12108606" y="5386498"/>
          <a:ext cx="1339110" cy="37272"/>
          <a:chOff x="14477083" y="7212702"/>
          <a:chExt cx="1524916" cy="141449"/>
        </a:xfrm>
      </xdr:grpSpPr>
      <xdr:sp macro="" textlink="">
        <xdr:nvSpPr>
          <xdr:cNvPr id="248" name="正方形/長方形 247">
            <a:extLst>
              <a:ext uri="{FF2B5EF4-FFF2-40B4-BE49-F238E27FC236}">
                <a16:creationId xmlns:a16="http://schemas.microsoft.com/office/drawing/2014/main" id="{A8EF0FE9-45B4-D324-4EBD-2DAF2A4D76A4}"/>
              </a:ext>
            </a:extLst>
          </xdr:cNvPr>
          <xdr:cNvSpPr/>
        </xdr:nvSpPr>
        <xdr:spPr bwMode="auto">
          <a:xfrm rot="10800000">
            <a:off x="14477083" y="7240107"/>
            <a:ext cx="1524916" cy="90489"/>
          </a:xfrm>
          <a:prstGeom prst="rect">
            <a:avLst/>
          </a:prstGeom>
          <a:solidFill>
            <a:srgbClr xmlns:mc="http://schemas.openxmlformats.org/markup-compatibility/2006" xmlns:a14="http://schemas.microsoft.com/office/drawing/2010/main" val="FFFFFF" mc:Ignorable="a14" a14:legacySpreadsheetColorIndex="65"/>
          </a:solidFill>
          <a:ln w="381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sp macro="" textlink="">
        <xdr:nvSpPr>
          <xdr:cNvPr id="249" name="直線 2166">
            <a:extLst>
              <a:ext uri="{FF2B5EF4-FFF2-40B4-BE49-F238E27FC236}">
                <a16:creationId xmlns:a16="http://schemas.microsoft.com/office/drawing/2014/main" id="{AE9BACC5-9CE5-7B1A-D5FC-A7B210E1D165}"/>
              </a:ext>
            </a:extLst>
          </xdr:cNvPr>
          <xdr:cNvSpPr>
            <a:spLocks noChangeShapeType="1"/>
          </xdr:cNvSpPr>
        </xdr:nvSpPr>
        <xdr:spPr bwMode="auto">
          <a:xfrm rot="10800000">
            <a:off x="15237959" y="7212702"/>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50" name="直線 2167">
            <a:extLst>
              <a:ext uri="{FF2B5EF4-FFF2-40B4-BE49-F238E27FC236}">
                <a16:creationId xmlns:a16="http://schemas.microsoft.com/office/drawing/2014/main" id="{4F3FEE68-A434-A434-CBD7-D87718FD1BB9}"/>
              </a:ext>
            </a:extLst>
          </xdr:cNvPr>
          <xdr:cNvSpPr>
            <a:spLocks noChangeShapeType="1"/>
          </xdr:cNvSpPr>
        </xdr:nvSpPr>
        <xdr:spPr bwMode="auto">
          <a:xfrm rot="10800000" flipH="1">
            <a:off x="15563648" y="7291412"/>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sp macro="" textlink="">
        <xdr:nvSpPr>
          <xdr:cNvPr id="251" name="直線 2167">
            <a:extLst>
              <a:ext uri="{FF2B5EF4-FFF2-40B4-BE49-F238E27FC236}">
                <a16:creationId xmlns:a16="http://schemas.microsoft.com/office/drawing/2014/main" id="{C7698B08-9A42-D7F9-4DBB-436EB9626E04}"/>
              </a:ext>
            </a:extLst>
          </xdr:cNvPr>
          <xdr:cNvSpPr>
            <a:spLocks noChangeShapeType="1"/>
          </xdr:cNvSpPr>
        </xdr:nvSpPr>
        <xdr:spPr bwMode="auto">
          <a:xfrm rot="10800000" flipH="1">
            <a:off x="14832811" y="727346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52" name="直線 2166">
            <a:extLst>
              <a:ext uri="{FF2B5EF4-FFF2-40B4-BE49-F238E27FC236}">
                <a16:creationId xmlns:a16="http://schemas.microsoft.com/office/drawing/2014/main" id="{C98EDF96-F036-AA72-FFBC-EB9B756C0159}"/>
              </a:ext>
            </a:extLst>
          </xdr:cNvPr>
          <xdr:cNvSpPr>
            <a:spLocks noChangeShapeType="1"/>
          </xdr:cNvSpPr>
        </xdr:nvSpPr>
        <xdr:spPr bwMode="auto">
          <a:xfrm rot="10800000">
            <a:off x="14858083" y="7219106"/>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53" name="直線 2167">
            <a:extLst>
              <a:ext uri="{FF2B5EF4-FFF2-40B4-BE49-F238E27FC236}">
                <a16:creationId xmlns:a16="http://schemas.microsoft.com/office/drawing/2014/main" id="{E249D0BA-8E2B-3584-B315-7250824ADDC9}"/>
              </a:ext>
            </a:extLst>
          </xdr:cNvPr>
          <xdr:cNvSpPr>
            <a:spLocks noChangeShapeType="1"/>
          </xdr:cNvSpPr>
        </xdr:nvSpPr>
        <xdr:spPr bwMode="auto">
          <a:xfrm rot="10800000" flipH="1">
            <a:off x="14477420" y="7297158"/>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sp macro="" textlink="">
        <xdr:nvSpPr>
          <xdr:cNvPr id="254" name="直線 2166">
            <a:extLst>
              <a:ext uri="{FF2B5EF4-FFF2-40B4-BE49-F238E27FC236}">
                <a16:creationId xmlns:a16="http://schemas.microsoft.com/office/drawing/2014/main" id="{6D1D84A4-F1B3-82C2-576A-60CA7543467B}"/>
              </a:ext>
            </a:extLst>
          </xdr:cNvPr>
          <xdr:cNvSpPr>
            <a:spLocks noChangeShapeType="1"/>
          </xdr:cNvSpPr>
        </xdr:nvSpPr>
        <xdr:spPr bwMode="auto">
          <a:xfrm rot="10800000">
            <a:off x="15621000" y="7221992"/>
            <a:ext cx="0" cy="132159"/>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55" name="直線 2167">
            <a:extLst>
              <a:ext uri="{FF2B5EF4-FFF2-40B4-BE49-F238E27FC236}">
                <a16:creationId xmlns:a16="http://schemas.microsoft.com/office/drawing/2014/main" id="{DDD88249-BECC-3D3E-1F91-168EC0F0F1CA}"/>
              </a:ext>
            </a:extLst>
          </xdr:cNvPr>
          <xdr:cNvSpPr>
            <a:spLocks noChangeShapeType="1"/>
          </xdr:cNvSpPr>
        </xdr:nvSpPr>
        <xdr:spPr bwMode="auto">
          <a:xfrm rot="10800000" flipH="1">
            <a:off x="15222990" y="7273017"/>
            <a:ext cx="434578" cy="0"/>
          </a:xfrm>
          <a:prstGeom prst="line">
            <a:avLst/>
          </a:prstGeom>
          <a:noFill/>
          <a:ln w="3810">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grpSp>
    <xdr:clientData/>
  </xdr:twoCellAnchor>
  <xdr:twoCellAnchor>
    <xdr:from>
      <xdr:col>69</xdr:col>
      <xdr:colOff>584330</xdr:colOff>
      <xdr:row>50</xdr:row>
      <xdr:rowOff>88321</xdr:rowOff>
    </xdr:from>
    <xdr:to>
      <xdr:col>70</xdr:col>
      <xdr:colOff>73136</xdr:colOff>
      <xdr:row>51</xdr:row>
      <xdr:rowOff>16264</xdr:rowOff>
    </xdr:to>
    <xdr:sp macro="" textlink="">
      <xdr:nvSpPr>
        <xdr:cNvPr id="256" name="楕円 255">
          <a:extLst>
            <a:ext uri="{FF2B5EF4-FFF2-40B4-BE49-F238E27FC236}">
              <a16:creationId xmlns:a16="http://schemas.microsoft.com/office/drawing/2014/main" id="{C681925F-9EDE-4691-9045-85AAB238A9E9}"/>
            </a:ext>
          </a:extLst>
        </xdr:cNvPr>
        <xdr:cNvSpPr/>
      </xdr:nvSpPr>
      <xdr:spPr bwMode="auto">
        <a:xfrm>
          <a:off x="14300330" y="8296150"/>
          <a:ext cx="98406" cy="91228"/>
        </a:xfrm>
        <a:prstGeom prst="ellipse">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291486</xdr:colOff>
      <xdr:row>48</xdr:row>
      <xdr:rowOff>86279</xdr:rowOff>
    </xdr:from>
    <xdr:to>
      <xdr:col>70</xdr:col>
      <xdr:colOff>403469</xdr:colOff>
      <xdr:row>49</xdr:row>
      <xdr:rowOff>14221</xdr:rowOff>
    </xdr:to>
    <xdr:sp macro="" textlink="">
      <xdr:nvSpPr>
        <xdr:cNvPr id="259" name="楕円 258">
          <a:extLst>
            <a:ext uri="{FF2B5EF4-FFF2-40B4-BE49-F238E27FC236}">
              <a16:creationId xmlns:a16="http://schemas.microsoft.com/office/drawing/2014/main" id="{05FBDC8A-F279-4F5D-91B4-5C9BF467A7C8}"/>
            </a:ext>
          </a:extLst>
        </xdr:cNvPr>
        <xdr:cNvSpPr/>
      </xdr:nvSpPr>
      <xdr:spPr bwMode="auto">
        <a:xfrm>
          <a:off x="14617086" y="7967536"/>
          <a:ext cx="111983" cy="91228"/>
        </a:xfrm>
        <a:prstGeom prst="ellipse">
          <a:avLst/>
        </a:prstGeom>
        <a:solidFill>
          <a:schemeClr val="accent6">
            <a:lumMod val="50000"/>
          </a:scheme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293141</xdr:colOff>
      <xdr:row>50</xdr:row>
      <xdr:rowOff>83353</xdr:rowOff>
    </xdr:from>
    <xdr:to>
      <xdr:col>70</xdr:col>
      <xdr:colOff>405124</xdr:colOff>
      <xdr:row>51</xdr:row>
      <xdr:rowOff>11296</xdr:rowOff>
    </xdr:to>
    <xdr:sp macro="" textlink="">
      <xdr:nvSpPr>
        <xdr:cNvPr id="260" name="楕円 259">
          <a:extLst>
            <a:ext uri="{FF2B5EF4-FFF2-40B4-BE49-F238E27FC236}">
              <a16:creationId xmlns:a16="http://schemas.microsoft.com/office/drawing/2014/main" id="{3E9C6187-8B4B-4436-99E5-15F1280D39B0}"/>
            </a:ext>
          </a:extLst>
        </xdr:cNvPr>
        <xdr:cNvSpPr/>
      </xdr:nvSpPr>
      <xdr:spPr bwMode="auto">
        <a:xfrm>
          <a:off x="14618741" y="8291182"/>
          <a:ext cx="111983" cy="91228"/>
        </a:xfrm>
        <a:prstGeom prst="ellipse">
          <a:avLst/>
        </a:prstGeom>
        <a:solidFill>
          <a:schemeClr val="accent1"/>
        </a:solidFill>
        <a:ln w="9525"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70</xdr:col>
      <xdr:colOff>548266</xdr:colOff>
      <xdr:row>44</xdr:row>
      <xdr:rowOff>133416</xdr:rowOff>
    </xdr:from>
    <xdr:to>
      <xdr:col>71</xdr:col>
      <xdr:colOff>198372</xdr:colOff>
      <xdr:row>44</xdr:row>
      <xdr:rowOff>135322</xdr:rowOff>
    </xdr:to>
    <xdr:cxnSp macro="">
      <xdr:nvCxnSpPr>
        <xdr:cNvPr id="261" name="直線コネクタ 260">
          <a:extLst>
            <a:ext uri="{FF2B5EF4-FFF2-40B4-BE49-F238E27FC236}">
              <a16:creationId xmlns:a16="http://schemas.microsoft.com/office/drawing/2014/main" id="{E97CB95D-A487-4179-8C03-77FB81985742}"/>
            </a:ext>
          </a:extLst>
        </xdr:cNvPr>
        <xdr:cNvCxnSpPr/>
      </xdr:nvCxnSpPr>
      <xdr:spPr bwMode="auto">
        <a:xfrm flipV="1">
          <a:off x="14873866" y="7361530"/>
          <a:ext cx="259706" cy="1906"/>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70</xdr:col>
      <xdr:colOff>543010</xdr:colOff>
      <xdr:row>45</xdr:row>
      <xdr:rowOff>135264</xdr:rowOff>
    </xdr:from>
    <xdr:to>
      <xdr:col>71</xdr:col>
      <xdr:colOff>389855</xdr:colOff>
      <xdr:row>45</xdr:row>
      <xdr:rowOff>135264</xdr:rowOff>
    </xdr:to>
    <xdr:cxnSp macro="">
      <xdr:nvCxnSpPr>
        <xdr:cNvPr id="262" name="直線コネクタ 261">
          <a:extLst>
            <a:ext uri="{FF2B5EF4-FFF2-40B4-BE49-F238E27FC236}">
              <a16:creationId xmlns:a16="http://schemas.microsoft.com/office/drawing/2014/main" id="{6DE3140B-4D65-49C4-9E8F-C029718D8F65}"/>
            </a:ext>
          </a:extLst>
        </xdr:cNvPr>
        <xdr:cNvCxnSpPr/>
      </xdr:nvCxnSpPr>
      <xdr:spPr bwMode="auto">
        <a:xfrm flipV="1">
          <a:off x="14868610" y="7526664"/>
          <a:ext cx="456445" cy="0"/>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70</xdr:col>
      <xdr:colOff>544324</xdr:colOff>
      <xdr:row>46</xdr:row>
      <xdr:rowOff>134762</xdr:rowOff>
    </xdr:from>
    <xdr:to>
      <xdr:col>71</xdr:col>
      <xdr:colOff>579416</xdr:colOff>
      <xdr:row>46</xdr:row>
      <xdr:rowOff>136797</xdr:rowOff>
    </xdr:to>
    <xdr:cxnSp macro="">
      <xdr:nvCxnSpPr>
        <xdr:cNvPr id="263" name="直線コネクタ 262">
          <a:extLst>
            <a:ext uri="{FF2B5EF4-FFF2-40B4-BE49-F238E27FC236}">
              <a16:creationId xmlns:a16="http://schemas.microsoft.com/office/drawing/2014/main" id="{488B9AC3-E292-4073-AF13-000D6890AD7C}"/>
            </a:ext>
          </a:extLst>
        </xdr:cNvPr>
        <xdr:cNvCxnSpPr/>
      </xdr:nvCxnSpPr>
      <xdr:spPr bwMode="auto">
        <a:xfrm>
          <a:off x="14869924" y="7689448"/>
          <a:ext cx="644692" cy="2035"/>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70</xdr:col>
      <xdr:colOff>532969</xdr:colOff>
      <xdr:row>47</xdr:row>
      <xdr:rowOff>137927</xdr:rowOff>
    </xdr:from>
    <xdr:to>
      <xdr:col>72</xdr:col>
      <xdr:colOff>64733</xdr:colOff>
      <xdr:row>47</xdr:row>
      <xdr:rowOff>138648</xdr:rowOff>
    </xdr:to>
    <xdr:cxnSp macro="">
      <xdr:nvCxnSpPr>
        <xdr:cNvPr id="264" name="直線コネクタ 263">
          <a:extLst>
            <a:ext uri="{FF2B5EF4-FFF2-40B4-BE49-F238E27FC236}">
              <a16:creationId xmlns:a16="http://schemas.microsoft.com/office/drawing/2014/main" id="{332753FC-5429-4F89-A5A2-DA05A0A1130C}"/>
            </a:ext>
          </a:extLst>
        </xdr:cNvPr>
        <xdr:cNvCxnSpPr/>
      </xdr:nvCxnSpPr>
      <xdr:spPr bwMode="auto">
        <a:xfrm>
          <a:off x="14858569" y="7855898"/>
          <a:ext cx="750964" cy="721"/>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72</xdr:col>
      <xdr:colOff>461120</xdr:colOff>
      <xdr:row>50</xdr:row>
      <xdr:rowOff>55712</xdr:rowOff>
    </xdr:from>
    <xdr:to>
      <xdr:col>73</xdr:col>
      <xdr:colOff>17809</xdr:colOff>
      <xdr:row>50</xdr:row>
      <xdr:rowOff>56304</xdr:rowOff>
    </xdr:to>
    <xdr:cxnSp macro="">
      <xdr:nvCxnSpPr>
        <xdr:cNvPr id="265" name="直線コネクタ 264">
          <a:extLst>
            <a:ext uri="{FF2B5EF4-FFF2-40B4-BE49-F238E27FC236}">
              <a16:creationId xmlns:a16="http://schemas.microsoft.com/office/drawing/2014/main" id="{BFFB201C-B339-46BC-B6E7-5118DA632D80}"/>
            </a:ext>
          </a:extLst>
        </xdr:cNvPr>
        <xdr:cNvCxnSpPr/>
      </xdr:nvCxnSpPr>
      <xdr:spPr bwMode="auto">
        <a:xfrm flipV="1">
          <a:off x="16005920" y="8263541"/>
          <a:ext cx="166289" cy="592"/>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72</xdr:col>
      <xdr:colOff>474914</xdr:colOff>
      <xdr:row>51</xdr:row>
      <xdr:rowOff>27818</xdr:rowOff>
    </xdr:from>
    <xdr:to>
      <xdr:col>73</xdr:col>
      <xdr:colOff>130463</xdr:colOff>
      <xdr:row>51</xdr:row>
      <xdr:rowOff>29724</xdr:rowOff>
    </xdr:to>
    <xdr:cxnSp macro="">
      <xdr:nvCxnSpPr>
        <xdr:cNvPr id="266" name="直線コネクタ 265">
          <a:extLst>
            <a:ext uri="{FF2B5EF4-FFF2-40B4-BE49-F238E27FC236}">
              <a16:creationId xmlns:a16="http://schemas.microsoft.com/office/drawing/2014/main" id="{6CCBCE81-3CBE-481F-8A3D-429505BEDAB2}"/>
            </a:ext>
          </a:extLst>
        </xdr:cNvPr>
        <xdr:cNvCxnSpPr/>
      </xdr:nvCxnSpPr>
      <xdr:spPr bwMode="auto">
        <a:xfrm flipV="1">
          <a:off x="16019714" y="8398932"/>
          <a:ext cx="265149" cy="1906"/>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72</xdr:col>
      <xdr:colOff>451499</xdr:colOff>
      <xdr:row>52</xdr:row>
      <xdr:rowOff>65982</xdr:rowOff>
    </xdr:from>
    <xdr:to>
      <xdr:col>73</xdr:col>
      <xdr:colOff>296424</xdr:colOff>
      <xdr:row>52</xdr:row>
      <xdr:rowOff>69202</xdr:rowOff>
    </xdr:to>
    <xdr:cxnSp macro="">
      <xdr:nvCxnSpPr>
        <xdr:cNvPr id="267" name="直線コネクタ 266">
          <a:extLst>
            <a:ext uri="{FF2B5EF4-FFF2-40B4-BE49-F238E27FC236}">
              <a16:creationId xmlns:a16="http://schemas.microsoft.com/office/drawing/2014/main" id="{34020609-0937-4EB4-88CF-C335A4C7CA7D}"/>
            </a:ext>
          </a:extLst>
        </xdr:cNvPr>
        <xdr:cNvCxnSpPr/>
      </xdr:nvCxnSpPr>
      <xdr:spPr bwMode="auto">
        <a:xfrm flipV="1">
          <a:off x="15996299" y="8600382"/>
          <a:ext cx="454525" cy="3220"/>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72</xdr:col>
      <xdr:colOff>468954</xdr:colOff>
      <xdr:row>53</xdr:row>
      <xdr:rowOff>52189</xdr:rowOff>
    </xdr:from>
    <xdr:to>
      <xdr:col>73</xdr:col>
      <xdr:colOff>510148</xdr:colOff>
      <xdr:row>53</xdr:row>
      <xdr:rowOff>54224</xdr:rowOff>
    </xdr:to>
    <xdr:cxnSp macro="">
      <xdr:nvCxnSpPr>
        <xdr:cNvPr id="268" name="直線コネクタ 267">
          <a:extLst>
            <a:ext uri="{FF2B5EF4-FFF2-40B4-BE49-F238E27FC236}">
              <a16:creationId xmlns:a16="http://schemas.microsoft.com/office/drawing/2014/main" id="{7D6C862E-7F45-4B5F-8555-FE4AF4FD4261}"/>
            </a:ext>
          </a:extLst>
        </xdr:cNvPr>
        <xdr:cNvCxnSpPr/>
      </xdr:nvCxnSpPr>
      <xdr:spPr bwMode="auto">
        <a:xfrm>
          <a:off x="16013754" y="8749875"/>
          <a:ext cx="650794" cy="2035"/>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72</xdr:col>
      <xdr:colOff>469330</xdr:colOff>
      <xdr:row>54</xdr:row>
      <xdr:rowOff>48786</xdr:rowOff>
    </xdr:from>
    <xdr:to>
      <xdr:col>74</xdr:col>
      <xdr:colOff>32302</xdr:colOff>
      <xdr:row>54</xdr:row>
      <xdr:rowOff>49507</xdr:rowOff>
    </xdr:to>
    <xdr:cxnSp macro="">
      <xdr:nvCxnSpPr>
        <xdr:cNvPr id="269" name="直線コネクタ 268">
          <a:extLst>
            <a:ext uri="{FF2B5EF4-FFF2-40B4-BE49-F238E27FC236}">
              <a16:creationId xmlns:a16="http://schemas.microsoft.com/office/drawing/2014/main" id="{1EEEDCE4-FEC3-4416-9AB8-BB1B387A7AC3}"/>
            </a:ext>
          </a:extLst>
        </xdr:cNvPr>
        <xdr:cNvCxnSpPr/>
      </xdr:nvCxnSpPr>
      <xdr:spPr bwMode="auto">
        <a:xfrm>
          <a:off x="16014130" y="8909757"/>
          <a:ext cx="782172" cy="721"/>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73</xdr:col>
      <xdr:colOff>51777</xdr:colOff>
      <xdr:row>47</xdr:row>
      <xdr:rowOff>112176</xdr:rowOff>
    </xdr:from>
    <xdr:to>
      <xdr:col>73</xdr:col>
      <xdr:colOff>52527</xdr:colOff>
      <xdr:row>48</xdr:row>
      <xdr:rowOff>110806</xdr:rowOff>
    </xdr:to>
    <xdr:cxnSp macro="">
      <xdr:nvCxnSpPr>
        <xdr:cNvPr id="270" name="直線コネクタ 269">
          <a:extLst>
            <a:ext uri="{FF2B5EF4-FFF2-40B4-BE49-F238E27FC236}">
              <a16:creationId xmlns:a16="http://schemas.microsoft.com/office/drawing/2014/main" id="{587AC58C-9251-4C00-AFCF-97AF3BE052EE}"/>
            </a:ext>
          </a:extLst>
        </xdr:cNvPr>
        <xdr:cNvCxnSpPr/>
      </xdr:nvCxnSpPr>
      <xdr:spPr bwMode="auto">
        <a:xfrm flipH="1">
          <a:off x="16206177" y="7830147"/>
          <a:ext cx="750" cy="161916"/>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73</xdr:col>
      <xdr:colOff>210549</xdr:colOff>
      <xdr:row>47</xdr:row>
      <xdr:rowOff>106921</xdr:rowOff>
    </xdr:from>
    <xdr:to>
      <xdr:col>73</xdr:col>
      <xdr:colOff>214217</xdr:colOff>
      <xdr:row>49</xdr:row>
      <xdr:rowOff>101902</xdr:rowOff>
    </xdr:to>
    <xdr:cxnSp macro="">
      <xdr:nvCxnSpPr>
        <xdr:cNvPr id="271" name="直線コネクタ 270">
          <a:extLst>
            <a:ext uri="{FF2B5EF4-FFF2-40B4-BE49-F238E27FC236}">
              <a16:creationId xmlns:a16="http://schemas.microsoft.com/office/drawing/2014/main" id="{274A07C3-8835-4CA0-91C3-53B597645E39}"/>
            </a:ext>
          </a:extLst>
        </xdr:cNvPr>
        <xdr:cNvCxnSpPr/>
      </xdr:nvCxnSpPr>
      <xdr:spPr bwMode="auto">
        <a:xfrm flipH="1">
          <a:off x="16364949" y="7824892"/>
          <a:ext cx="3668" cy="321553"/>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73</xdr:col>
      <xdr:colOff>398202</xdr:colOff>
      <xdr:row>47</xdr:row>
      <xdr:rowOff>105992</xdr:rowOff>
    </xdr:from>
    <xdr:to>
      <xdr:col>73</xdr:col>
      <xdr:colOff>400110</xdr:colOff>
      <xdr:row>50</xdr:row>
      <xdr:rowOff>104643</xdr:rowOff>
    </xdr:to>
    <xdr:cxnSp macro="">
      <xdr:nvCxnSpPr>
        <xdr:cNvPr id="272" name="直線コネクタ 271">
          <a:extLst>
            <a:ext uri="{FF2B5EF4-FFF2-40B4-BE49-F238E27FC236}">
              <a16:creationId xmlns:a16="http://schemas.microsoft.com/office/drawing/2014/main" id="{A49E65AB-DB67-4314-993C-12931E7324D7}"/>
            </a:ext>
          </a:extLst>
        </xdr:cNvPr>
        <xdr:cNvCxnSpPr/>
      </xdr:nvCxnSpPr>
      <xdr:spPr bwMode="auto">
        <a:xfrm>
          <a:off x="16552602" y="7823963"/>
          <a:ext cx="1908" cy="488509"/>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73</xdr:col>
      <xdr:colOff>574164</xdr:colOff>
      <xdr:row>47</xdr:row>
      <xdr:rowOff>109709</xdr:rowOff>
    </xdr:from>
    <xdr:to>
      <xdr:col>73</xdr:col>
      <xdr:colOff>577001</xdr:colOff>
      <xdr:row>51</xdr:row>
      <xdr:rowOff>101849</xdr:rowOff>
    </xdr:to>
    <xdr:cxnSp macro="">
      <xdr:nvCxnSpPr>
        <xdr:cNvPr id="273" name="直線コネクタ 272">
          <a:extLst>
            <a:ext uri="{FF2B5EF4-FFF2-40B4-BE49-F238E27FC236}">
              <a16:creationId xmlns:a16="http://schemas.microsoft.com/office/drawing/2014/main" id="{34750A92-A5A5-4B95-9E32-DC06BA47BB75}"/>
            </a:ext>
          </a:extLst>
        </xdr:cNvPr>
        <xdr:cNvCxnSpPr/>
      </xdr:nvCxnSpPr>
      <xdr:spPr bwMode="auto">
        <a:xfrm>
          <a:off x="16728564" y="7827680"/>
          <a:ext cx="2837" cy="645283"/>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74</xdr:col>
      <xdr:colOff>60476</xdr:colOff>
      <xdr:row>47</xdr:row>
      <xdr:rowOff>113426</xdr:rowOff>
    </xdr:from>
    <xdr:to>
      <xdr:col>74</xdr:col>
      <xdr:colOff>64243</xdr:colOff>
      <xdr:row>52</xdr:row>
      <xdr:rowOff>104162</xdr:rowOff>
    </xdr:to>
    <xdr:cxnSp macro="">
      <xdr:nvCxnSpPr>
        <xdr:cNvPr id="274" name="直線コネクタ 273">
          <a:extLst>
            <a:ext uri="{FF2B5EF4-FFF2-40B4-BE49-F238E27FC236}">
              <a16:creationId xmlns:a16="http://schemas.microsoft.com/office/drawing/2014/main" id="{34833474-B968-42D0-97D6-6AD6D2DE2EE7}"/>
            </a:ext>
          </a:extLst>
        </xdr:cNvPr>
        <xdr:cNvCxnSpPr/>
      </xdr:nvCxnSpPr>
      <xdr:spPr bwMode="auto">
        <a:xfrm>
          <a:off x="16824476" y="7831397"/>
          <a:ext cx="3767" cy="807165"/>
        </a:xfrm>
        <a:prstGeom prst="line">
          <a:avLst/>
        </a:prstGeom>
        <a:solidFill>
          <a:srgbClr val="FFFFFF"/>
        </a:solidFill>
        <a:ln w="28575" cap="flat" cmpd="dbl" algn="ctr">
          <a:solidFill>
            <a:schemeClr val="accent6">
              <a:lumMod val="50000"/>
            </a:schemeClr>
          </a:solidFill>
          <a:prstDash val="solid"/>
          <a:round/>
          <a:headEnd type="none" w="med" len="med"/>
          <a:tailEnd type="none" w="med" len="med"/>
        </a:ln>
        <a:effectLst/>
      </xdr:spPr>
    </xdr:cxnSp>
    <xdr:clientData/>
  </xdr:twoCellAnchor>
  <xdr:twoCellAnchor>
    <xdr:from>
      <xdr:col>71</xdr:col>
      <xdr:colOff>47235</xdr:colOff>
      <xdr:row>40</xdr:row>
      <xdr:rowOff>99478</xdr:rowOff>
    </xdr:from>
    <xdr:to>
      <xdr:col>71</xdr:col>
      <xdr:colOff>47985</xdr:colOff>
      <xdr:row>41</xdr:row>
      <xdr:rowOff>98106</xdr:rowOff>
    </xdr:to>
    <xdr:cxnSp macro="">
      <xdr:nvCxnSpPr>
        <xdr:cNvPr id="275" name="直線コネクタ 274">
          <a:extLst>
            <a:ext uri="{FF2B5EF4-FFF2-40B4-BE49-F238E27FC236}">
              <a16:creationId xmlns:a16="http://schemas.microsoft.com/office/drawing/2014/main" id="{0FF3242D-19E1-485E-B084-309CE1CCC867}"/>
            </a:ext>
          </a:extLst>
        </xdr:cNvPr>
        <xdr:cNvCxnSpPr/>
      </xdr:nvCxnSpPr>
      <xdr:spPr bwMode="auto">
        <a:xfrm flipH="1">
          <a:off x="14982435" y="6674449"/>
          <a:ext cx="750" cy="161914"/>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71</xdr:col>
      <xdr:colOff>204025</xdr:colOff>
      <xdr:row>40</xdr:row>
      <xdr:rowOff>86090</xdr:rowOff>
    </xdr:from>
    <xdr:to>
      <xdr:col>71</xdr:col>
      <xdr:colOff>213136</xdr:colOff>
      <xdr:row>42</xdr:row>
      <xdr:rowOff>84002</xdr:rowOff>
    </xdr:to>
    <xdr:cxnSp macro="">
      <xdr:nvCxnSpPr>
        <xdr:cNvPr id="276" name="直線コネクタ 275">
          <a:extLst>
            <a:ext uri="{FF2B5EF4-FFF2-40B4-BE49-F238E27FC236}">
              <a16:creationId xmlns:a16="http://schemas.microsoft.com/office/drawing/2014/main" id="{413BCD95-7A51-4CC9-84D9-EAF544E9CBAF}"/>
            </a:ext>
          </a:extLst>
        </xdr:cNvPr>
        <xdr:cNvCxnSpPr/>
      </xdr:nvCxnSpPr>
      <xdr:spPr bwMode="auto">
        <a:xfrm flipH="1">
          <a:off x="15139225" y="6661061"/>
          <a:ext cx="9111" cy="324484"/>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71</xdr:col>
      <xdr:colOff>400517</xdr:colOff>
      <xdr:row>40</xdr:row>
      <xdr:rowOff>93221</xdr:rowOff>
    </xdr:from>
    <xdr:to>
      <xdr:col>71</xdr:col>
      <xdr:colOff>402425</xdr:colOff>
      <xdr:row>43</xdr:row>
      <xdr:rowOff>99809</xdr:rowOff>
    </xdr:to>
    <xdr:cxnSp macro="">
      <xdr:nvCxnSpPr>
        <xdr:cNvPr id="277" name="直線コネクタ 276">
          <a:extLst>
            <a:ext uri="{FF2B5EF4-FFF2-40B4-BE49-F238E27FC236}">
              <a16:creationId xmlns:a16="http://schemas.microsoft.com/office/drawing/2014/main" id="{DF5DE3B8-65C2-4062-A371-8C0DFE227878}"/>
            </a:ext>
          </a:extLst>
        </xdr:cNvPr>
        <xdr:cNvCxnSpPr/>
      </xdr:nvCxnSpPr>
      <xdr:spPr bwMode="auto">
        <a:xfrm>
          <a:off x="15335717" y="6668192"/>
          <a:ext cx="1908" cy="496446"/>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71</xdr:col>
      <xdr:colOff>567106</xdr:colOff>
      <xdr:row>40</xdr:row>
      <xdr:rowOff>96938</xdr:rowOff>
    </xdr:from>
    <xdr:to>
      <xdr:col>71</xdr:col>
      <xdr:colOff>575385</xdr:colOff>
      <xdr:row>44</xdr:row>
      <xdr:rowOff>97015</xdr:rowOff>
    </xdr:to>
    <xdr:cxnSp macro="">
      <xdr:nvCxnSpPr>
        <xdr:cNvPr id="278" name="直線コネクタ 277">
          <a:extLst>
            <a:ext uri="{FF2B5EF4-FFF2-40B4-BE49-F238E27FC236}">
              <a16:creationId xmlns:a16="http://schemas.microsoft.com/office/drawing/2014/main" id="{E8BC8617-C6C9-4EBD-91B1-524AE6A2CE07}"/>
            </a:ext>
          </a:extLst>
        </xdr:cNvPr>
        <xdr:cNvCxnSpPr/>
      </xdr:nvCxnSpPr>
      <xdr:spPr bwMode="auto">
        <a:xfrm>
          <a:off x="15502306" y="6671909"/>
          <a:ext cx="8279" cy="653220"/>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72</xdr:col>
      <xdr:colOff>87164</xdr:colOff>
      <xdr:row>40</xdr:row>
      <xdr:rowOff>85268</xdr:rowOff>
    </xdr:from>
    <xdr:to>
      <xdr:col>72</xdr:col>
      <xdr:colOff>93308</xdr:colOff>
      <xdr:row>45</xdr:row>
      <xdr:rowOff>98684</xdr:rowOff>
    </xdr:to>
    <xdr:cxnSp macro="">
      <xdr:nvCxnSpPr>
        <xdr:cNvPr id="279" name="直線コネクタ 278">
          <a:extLst>
            <a:ext uri="{FF2B5EF4-FFF2-40B4-BE49-F238E27FC236}">
              <a16:creationId xmlns:a16="http://schemas.microsoft.com/office/drawing/2014/main" id="{49B8CDB4-F342-4D62-A238-2C31FD331E84}"/>
            </a:ext>
          </a:extLst>
        </xdr:cNvPr>
        <xdr:cNvCxnSpPr/>
      </xdr:nvCxnSpPr>
      <xdr:spPr bwMode="auto">
        <a:xfrm>
          <a:off x="15631964" y="6660239"/>
          <a:ext cx="6144" cy="829845"/>
        </a:xfrm>
        <a:prstGeom prst="line">
          <a:avLst/>
        </a:prstGeom>
        <a:solidFill>
          <a:srgbClr val="FFFFFF"/>
        </a:solidFill>
        <a:ln w="28575" cap="flat" cmpd="sng" algn="ctr">
          <a:solidFill>
            <a:schemeClr val="accent6">
              <a:lumMod val="50000"/>
            </a:schemeClr>
          </a:solidFill>
          <a:prstDash val="solid"/>
          <a:round/>
          <a:headEnd type="none" w="med" len="med"/>
          <a:tailEnd type="none" w="med" len="med"/>
        </a:ln>
        <a:effectLst/>
      </xdr:spPr>
    </xdr:cxnSp>
    <xdr:clientData/>
  </xdr:twoCellAnchor>
  <xdr:twoCellAnchor>
    <xdr:from>
      <xdr:col>64</xdr:col>
      <xdr:colOff>225516</xdr:colOff>
      <xdr:row>51</xdr:row>
      <xdr:rowOff>198</xdr:rowOff>
    </xdr:from>
    <xdr:to>
      <xdr:col>64</xdr:col>
      <xdr:colOff>410856</xdr:colOff>
      <xdr:row>51</xdr:row>
      <xdr:rowOff>790</xdr:rowOff>
    </xdr:to>
    <xdr:cxnSp macro="">
      <xdr:nvCxnSpPr>
        <xdr:cNvPr id="285" name="直線コネクタ 284">
          <a:extLst>
            <a:ext uri="{FF2B5EF4-FFF2-40B4-BE49-F238E27FC236}">
              <a16:creationId xmlns:a16="http://schemas.microsoft.com/office/drawing/2014/main" id="{C2A1949B-5329-4CEA-9A88-1F80FF54654B}"/>
            </a:ext>
          </a:extLst>
        </xdr:cNvPr>
        <xdr:cNvCxnSpPr/>
      </xdr:nvCxnSpPr>
      <xdr:spPr bwMode="auto">
        <a:xfrm flipV="1">
          <a:off x="10893516" y="8534598"/>
          <a:ext cx="185340" cy="592"/>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64</xdr:col>
      <xdr:colOff>226830</xdr:colOff>
      <xdr:row>52</xdr:row>
      <xdr:rowOff>2049</xdr:rowOff>
    </xdr:from>
    <xdr:to>
      <xdr:col>64</xdr:col>
      <xdr:colOff>578337</xdr:colOff>
      <xdr:row>52</xdr:row>
      <xdr:rowOff>2049</xdr:rowOff>
    </xdr:to>
    <xdr:cxnSp macro="">
      <xdr:nvCxnSpPr>
        <xdr:cNvPr id="286" name="直線コネクタ 285">
          <a:extLst>
            <a:ext uri="{FF2B5EF4-FFF2-40B4-BE49-F238E27FC236}">
              <a16:creationId xmlns:a16="http://schemas.microsoft.com/office/drawing/2014/main" id="{7640C6A3-C4CA-49BB-81A5-3D0BF43A2708}"/>
            </a:ext>
          </a:extLst>
        </xdr:cNvPr>
        <xdr:cNvCxnSpPr/>
      </xdr:nvCxnSpPr>
      <xdr:spPr bwMode="auto">
        <a:xfrm flipV="1">
          <a:off x="10894830" y="8702704"/>
          <a:ext cx="351507" cy="0"/>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64</xdr:col>
      <xdr:colOff>221574</xdr:colOff>
      <xdr:row>53</xdr:row>
      <xdr:rowOff>3897</xdr:rowOff>
    </xdr:from>
    <xdr:to>
      <xdr:col>65</xdr:col>
      <xdr:colOff>152199</xdr:colOff>
      <xdr:row>53</xdr:row>
      <xdr:rowOff>3897</xdr:rowOff>
    </xdr:to>
    <xdr:cxnSp macro="">
      <xdr:nvCxnSpPr>
        <xdr:cNvPr id="287" name="直線コネクタ 286">
          <a:extLst>
            <a:ext uri="{FF2B5EF4-FFF2-40B4-BE49-F238E27FC236}">
              <a16:creationId xmlns:a16="http://schemas.microsoft.com/office/drawing/2014/main" id="{F0C16D12-3709-4340-A172-9F789A0CE849}"/>
            </a:ext>
          </a:extLst>
        </xdr:cNvPr>
        <xdr:cNvCxnSpPr/>
      </xdr:nvCxnSpPr>
      <xdr:spPr bwMode="auto">
        <a:xfrm flipV="1">
          <a:off x="10889574" y="8870806"/>
          <a:ext cx="540225" cy="0"/>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64</xdr:col>
      <xdr:colOff>222888</xdr:colOff>
      <xdr:row>54</xdr:row>
      <xdr:rowOff>3712</xdr:rowOff>
    </xdr:from>
    <xdr:to>
      <xdr:col>65</xdr:col>
      <xdr:colOff>257981</xdr:colOff>
      <xdr:row>54</xdr:row>
      <xdr:rowOff>3712</xdr:rowOff>
    </xdr:to>
    <xdr:cxnSp macro="">
      <xdr:nvCxnSpPr>
        <xdr:cNvPr id="288" name="直線コネクタ 287">
          <a:extLst>
            <a:ext uri="{FF2B5EF4-FFF2-40B4-BE49-F238E27FC236}">
              <a16:creationId xmlns:a16="http://schemas.microsoft.com/office/drawing/2014/main" id="{0EA1B2DF-C81F-49E6-AA92-1D84886FE0BD}"/>
            </a:ext>
          </a:extLst>
        </xdr:cNvPr>
        <xdr:cNvCxnSpPr/>
      </xdr:nvCxnSpPr>
      <xdr:spPr bwMode="auto">
        <a:xfrm>
          <a:off x="10890888" y="9036876"/>
          <a:ext cx="644693" cy="0"/>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64</xdr:col>
      <xdr:colOff>219906</xdr:colOff>
      <xdr:row>55</xdr:row>
      <xdr:rowOff>2952</xdr:rowOff>
    </xdr:from>
    <xdr:to>
      <xdr:col>65</xdr:col>
      <xdr:colOff>428305</xdr:colOff>
      <xdr:row>55</xdr:row>
      <xdr:rowOff>3673</xdr:rowOff>
    </xdr:to>
    <xdr:cxnSp macro="">
      <xdr:nvCxnSpPr>
        <xdr:cNvPr id="289" name="直線コネクタ 288">
          <a:extLst>
            <a:ext uri="{FF2B5EF4-FFF2-40B4-BE49-F238E27FC236}">
              <a16:creationId xmlns:a16="http://schemas.microsoft.com/office/drawing/2014/main" id="{659E92A5-B367-42A5-BE07-ECC207ED57F9}"/>
            </a:ext>
          </a:extLst>
        </xdr:cNvPr>
        <xdr:cNvCxnSpPr/>
      </xdr:nvCxnSpPr>
      <xdr:spPr bwMode="auto">
        <a:xfrm>
          <a:off x="10887906" y="9202370"/>
          <a:ext cx="817999" cy="721"/>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65</xdr:col>
      <xdr:colOff>195809</xdr:colOff>
      <xdr:row>49</xdr:row>
      <xdr:rowOff>120478</xdr:rowOff>
    </xdr:from>
    <xdr:to>
      <xdr:col>65</xdr:col>
      <xdr:colOff>196559</xdr:colOff>
      <xdr:row>50</xdr:row>
      <xdr:rowOff>119109</xdr:rowOff>
    </xdr:to>
    <xdr:cxnSp macro="">
      <xdr:nvCxnSpPr>
        <xdr:cNvPr id="290" name="直線コネクタ 289">
          <a:extLst>
            <a:ext uri="{FF2B5EF4-FFF2-40B4-BE49-F238E27FC236}">
              <a16:creationId xmlns:a16="http://schemas.microsoft.com/office/drawing/2014/main" id="{0A7AAFC2-29FB-4EA4-9868-01905A76276D}"/>
            </a:ext>
          </a:extLst>
        </xdr:cNvPr>
        <xdr:cNvCxnSpPr/>
      </xdr:nvCxnSpPr>
      <xdr:spPr bwMode="auto">
        <a:xfrm flipH="1">
          <a:off x="11473409" y="8322369"/>
          <a:ext cx="750" cy="164885"/>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65</xdr:col>
      <xdr:colOff>308035</xdr:colOff>
      <xdr:row>49</xdr:row>
      <xdr:rowOff>100496</xdr:rowOff>
    </xdr:from>
    <xdr:to>
      <xdr:col>65</xdr:col>
      <xdr:colOff>311703</xdr:colOff>
      <xdr:row>51</xdr:row>
      <xdr:rowOff>88887</xdr:rowOff>
    </xdr:to>
    <xdr:cxnSp macro="">
      <xdr:nvCxnSpPr>
        <xdr:cNvPr id="291" name="直線コネクタ 290">
          <a:extLst>
            <a:ext uri="{FF2B5EF4-FFF2-40B4-BE49-F238E27FC236}">
              <a16:creationId xmlns:a16="http://schemas.microsoft.com/office/drawing/2014/main" id="{BA506D27-99DF-4739-BA39-D2F53EE076F4}"/>
            </a:ext>
          </a:extLst>
        </xdr:cNvPr>
        <xdr:cNvCxnSpPr/>
      </xdr:nvCxnSpPr>
      <xdr:spPr bwMode="auto">
        <a:xfrm flipH="1">
          <a:off x="11585635" y="8302387"/>
          <a:ext cx="3668" cy="320900"/>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65</xdr:col>
      <xdr:colOff>491063</xdr:colOff>
      <xdr:row>49</xdr:row>
      <xdr:rowOff>114221</xdr:rowOff>
    </xdr:from>
    <xdr:to>
      <xdr:col>65</xdr:col>
      <xdr:colOff>492971</xdr:colOff>
      <xdr:row>52</xdr:row>
      <xdr:rowOff>120812</xdr:rowOff>
    </xdr:to>
    <xdr:cxnSp macro="">
      <xdr:nvCxnSpPr>
        <xdr:cNvPr id="292" name="直線コネクタ 291">
          <a:extLst>
            <a:ext uri="{FF2B5EF4-FFF2-40B4-BE49-F238E27FC236}">
              <a16:creationId xmlns:a16="http://schemas.microsoft.com/office/drawing/2014/main" id="{37E70D60-93E9-4E8D-8477-BB8F97B8472E}"/>
            </a:ext>
          </a:extLst>
        </xdr:cNvPr>
        <xdr:cNvCxnSpPr/>
      </xdr:nvCxnSpPr>
      <xdr:spPr bwMode="auto">
        <a:xfrm>
          <a:off x="11768663" y="8316112"/>
          <a:ext cx="1908" cy="505355"/>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66</xdr:col>
      <xdr:colOff>61515</xdr:colOff>
      <xdr:row>49</xdr:row>
      <xdr:rowOff>117938</xdr:rowOff>
    </xdr:from>
    <xdr:to>
      <xdr:col>66</xdr:col>
      <xdr:colOff>64352</xdr:colOff>
      <xdr:row>53</xdr:row>
      <xdr:rowOff>118017</xdr:rowOff>
    </xdr:to>
    <xdr:cxnSp macro="">
      <xdr:nvCxnSpPr>
        <xdr:cNvPr id="293" name="直線コネクタ 292">
          <a:extLst>
            <a:ext uri="{FF2B5EF4-FFF2-40B4-BE49-F238E27FC236}">
              <a16:creationId xmlns:a16="http://schemas.microsoft.com/office/drawing/2014/main" id="{0582258D-F363-4FA7-8241-4D075995BC6B}"/>
            </a:ext>
          </a:extLst>
        </xdr:cNvPr>
        <xdr:cNvCxnSpPr/>
      </xdr:nvCxnSpPr>
      <xdr:spPr bwMode="auto">
        <a:xfrm>
          <a:off x="11948715" y="8319829"/>
          <a:ext cx="2837" cy="665097"/>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66</xdr:col>
      <xdr:colOff>207408</xdr:colOff>
      <xdr:row>49</xdr:row>
      <xdr:rowOff>99674</xdr:rowOff>
    </xdr:from>
    <xdr:to>
      <xdr:col>66</xdr:col>
      <xdr:colOff>211175</xdr:colOff>
      <xdr:row>54</xdr:row>
      <xdr:rowOff>101279</xdr:rowOff>
    </xdr:to>
    <xdr:cxnSp macro="">
      <xdr:nvCxnSpPr>
        <xdr:cNvPr id="294" name="直線コネクタ 293">
          <a:extLst>
            <a:ext uri="{FF2B5EF4-FFF2-40B4-BE49-F238E27FC236}">
              <a16:creationId xmlns:a16="http://schemas.microsoft.com/office/drawing/2014/main" id="{732F270F-71A8-4535-AA86-09837FACF20D}"/>
            </a:ext>
          </a:extLst>
        </xdr:cNvPr>
        <xdr:cNvCxnSpPr/>
      </xdr:nvCxnSpPr>
      <xdr:spPr bwMode="auto">
        <a:xfrm>
          <a:off x="12094608" y="8301565"/>
          <a:ext cx="3767" cy="832878"/>
        </a:xfrm>
        <a:prstGeom prst="line">
          <a:avLst/>
        </a:prstGeom>
        <a:solidFill>
          <a:srgbClr val="FFFFFF"/>
        </a:solidFill>
        <a:ln w="28575" cap="flat" cmpd="sng" algn="ctr">
          <a:solidFill>
            <a:schemeClr val="accent1"/>
          </a:solidFill>
          <a:prstDash val="solid"/>
          <a:round/>
          <a:headEnd type="none" w="med" len="med"/>
          <a:tailEnd type="none" w="med" len="med"/>
        </a:ln>
        <a:effectLst/>
      </xdr:spPr>
    </xdr:cxnSp>
    <xdr:clientData/>
  </xdr:twoCellAnchor>
  <xdr:twoCellAnchor>
    <xdr:from>
      <xdr:col>67</xdr:col>
      <xdr:colOff>386323</xdr:colOff>
      <xdr:row>17</xdr:row>
      <xdr:rowOff>76422</xdr:rowOff>
    </xdr:from>
    <xdr:to>
      <xdr:col>67</xdr:col>
      <xdr:colOff>519254</xdr:colOff>
      <xdr:row>19</xdr:row>
      <xdr:rowOff>80121</xdr:rowOff>
    </xdr:to>
    <xdr:sp macro="" textlink="">
      <xdr:nvSpPr>
        <xdr:cNvPr id="300" name="フリーフォーム 287">
          <a:extLst>
            <a:ext uri="{FF2B5EF4-FFF2-40B4-BE49-F238E27FC236}">
              <a16:creationId xmlns:a16="http://schemas.microsoft.com/office/drawing/2014/main" id="{ECC87135-7428-4E70-858C-1807E477764D}"/>
            </a:ext>
          </a:extLst>
        </xdr:cNvPr>
        <xdr:cNvSpPr/>
      </xdr:nvSpPr>
      <xdr:spPr bwMode="auto">
        <a:xfrm>
          <a:off x="12883123" y="2883122"/>
          <a:ext cx="132931" cy="333899"/>
        </a:xfrm>
        <a:custGeom>
          <a:avLst/>
          <a:gdLst>
            <a:gd name="connsiteX0" fmla="*/ 0 w 329711"/>
            <a:gd name="connsiteY0" fmla="*/ 322384 h 337038"/>
            <a:gd name="connsiteX1" fmla="*/ 161192 w 329711"/>
            <a:gd name="connsiteY1" fmla="*/ 0 h 337038"/>
            <a:gd name="connsiteX2" fmla="*/ 329711 w 329711"/>
            <a:gd name="connsiteY2" fmla="*/ 337038 h 337038"/>
          </a:gdLst>
          <a:ahLst/>
          <a:cxnLst>
            <a:cxn ang="0">
              <a:pos x="connsiteX0" y="connsiteY0"/>
            </a:cxn>
            <a:cxn ang="0">
              <a:pos x="connsiteX1" y="connsiteY1"/>
            </a:cxn>
            <a:cxn ang="0">
              <a:pos x="connsiteX2" y="connsiteY2"/>
            </a:cxn>
          </a:cxnLst>
          <a:rect l="l" t="t" r="r" b="b"/>
          <a:pathLst>
            <a:path w="329711" h="337038">
              <a:moveTo>
                <a:pt x="0" y="322384"/>
              </a:moveTo>
              <a:lnTo>
                <a:pt x="161192" y="0"/>
              </a:lnTo>
              <a:lnTo>
                <a:pt x="329711" y="337038"/>
              </a:lnTo>
            </a:path>
          </a:pathLst>
        </a:custGeom>
        <a:noFill/>
        <a:ln w="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73</xdr:col>
      <xdr:colOff>225595</xdr:colOff>
      <xdr:row>27</xdr:row>
      <xdr:rowOff>41236</xdr:rowOff>
    </xdr:from>
    <xdr:to>
      <xdr:col>74</xdr:col>
      <xdr:colOff>25426</xdr:colOff>
      <xdr:row>28</xdr:row>
      <xdr:rowOff>1414</xdr:rowOff>
    </xdr:to>
    <xdr:sp macro="" textlink="">
      <xdr:nvSpPr>
        <xdr:cNvPr id="301" name="フリーフォーム 288">
          <a:extLst>
            <a:ext uri="{FF2B5EF4-FFF2-40B4-BE49-F238E27FC236}">
              <a16:creationId xmlns:a16="http://schemas.microsoft.com/office/drawing/2014/main" id="{EA64188B-222E-42C7-A48B-ABDD15B98127}"/>
            </a:ext>
          </a:extLst>
        </xdr:cNvPr>
        <xdr:cNvSpPr/>
      </xdr:nvSpPr>
      <xdr:spPr bwMode="auto">
        <a:xfrm>
          <a:off x="16557795" y="4841836"/>
          <a:ext cx="409431" cy="137978"/>
        </a:xfrm>
        <a:custGeom>
          <a:avLst/>
          <a:gdLst>
            <a:gd name="connsiteX0" fmla="*/ 0 w 1375172"/>
            <a:gd name="connsiteY0" fmla="*/ 339328 h 351235"/>
            <a:gd name="connsiteX1" fmla="*/ 172640 w 1375172"/>
            <a:gd name="connsiteY1" fmla="*/ 5953 h 351235"/>
            <a:gd name="connsiteX2" fmla="*/ 351234 w 1375172"/>
            <a:gd name="connsiteY2" fmla="*/ 345282 h 351235"/>
            <a:gd name="connsiteX3" fmla="*/ 517922 w 1375172"/>
            <a:gd name="connsiteY3" fmla="*/ 0 h 351235"/>
            <a:gd name="connsiteX4" fmla="*/ 696515 w 1375172"/>
            <a:gd name="connsiteY4" fmla="*/ 345282 h 351235"/>
            <a:gd name="connsiteX5" fmla="*/ 875109 w 1375172"/>
            <a:gd name="connsiteY5" fmla="*/ 0 h 351235"/>
            <a:gd name="connsiteX6" fmla="*/ 1041797 w 1375172"/>
            <a:gd name="connsiteY6" fmla="*/ 339328 h 351235"/>
            <a:gd name="connsiteX7" fmla="*/ 1202531 w 1375172"/>
            <a:gd name="connsiteY7" fmla="*/ 5953 h 351235"/>
            <a:gd name="connsiteX8" fmla="*/ 1375172 w 1375172"/>
            <a:gd name="connsiteY8" fmla="*/ 351235 h 35123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75172" h="351235">
              <a:moveTo>
                <a:pt x="0" y="339328"/>
              </a:moveTo>
              <a:lnTo>
                <a:pt x="172640" y="5953"/>
              </a:lnTo>
              <a:lnTo>
                <a:pt x="351234" y="345282"/>
              </a:lnTo>
              <a:lnTo>
                <a:pt x="517922" y="0"/>
              </a:lnTo>
              <a:lnTo>
                <a:pt x="696515" y="345282"/>
              </a:lnTo>
              <a:lnTo>
                <a:pt x="875109" y="0"/>
              </a:lnTo>
              <a:lnTo>
                <a:pt x="1041797" y="339328"/>
              </a:lnTo>
              <a:lnTo>
                <a:pt x="1202531" y="5953"/>
              </a:lnTo>
              <a:lnTo>
                <a:pt x="1375172" y="351235"/>
              </a:lnTo>
            </a:path>
          </a:pathLst>
        </a:custGeom>
        <a:noFill/>
        <a:ln w="0"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68</xdr:col>
      <xdr:colOff>208715</xdr:colOff>
      <xdr:row>43</xdr:row>
      <xdr:rowOff>85629</xdr:rowOff>
    </xdr:from>
    <xdr:to>
      <xdr:col>68</xdr:col>
      <xdr:colOff>294421</xdr:colOff>
      <xdr:row>44</xdr:row>
      <xdr:rowOff>13571</xdr:rowOff>
    </xdr:to>
    <xdr:sp macro="" textlink="">
      <xdr:nvSpPr>
        <xdr:cNvPr id="302" name="楕円 301">
          <a:extLst>
            <a:ext uri="{FF2B5EF4-FFF2-40B4-BE49-F238E27FC236}">
              <a16:creationId xmlns:a16="http://schemas.microsoft.com/office/drawing/2014/main" id="{40508F92-FDC8-FCE2-9030-063D38EC17DA}"/>
            </a:ext>
          </a:extLst>
        </xdr:cNvPr>
        <xdr:cNvSpPr/>
      </xdr:nvSpPr>
      <xdr:spPr bwMode="auto">
        <a:xfrm>
          <a:off x="13315115" y="7289993"/>
          <a:ext cx="85706" cy="94196"/>
        </a:xfrm>
        <a:prstGeom prst="ellipse">
          <a:avLst/>
        </a:prstGeom>
        <a:solidFill>
          <a:srgbClr val="FF00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68</xdr:col>
      <xdr:colOff>547557</xdr:colOff>
      <xdr:row>43</xdr:row>
      <xdr:rowOff>89287</xdr:rowOff>
    </xdr:from>
    <xdr:to>
      <xdr:col>69</xdr:col>
      <xdr:colOff>49940</xdr:colOff>
      <xdr:row>44</xdr:row>
      <xdr:rowOff>25167</xdr:rowOff>
    </xdr:to>
    <xdr:sp macro="" textlink="">
      <xdr:nvSpPr>
        <xdr:cNvPr id="303" name="楕円 302">
          <a:extLst>
            <a:ext uri="{FF2B5EF4-FFF2-40B4-BE49-F238E27FC236}">
              <a16:creationId xmlns:a16="http://schemas.microsoft.com/office/drawing/2014/main" id="{123E46E4-9E01-05E6-260D-4123CA0C937A}"/>
            </a:ext>
          </a:extLst>
        </xdr:cNvPr>
        <xdr:cNvSpPr/>
      </xdr:nvSpPr>
      <xdr:spPr bwMode="auto">
        <a:xfrm>
          <a:off x="13653957" y="7293651"/>
          <a:ext cx="111983" cy="102134"/>
        </a:xfrm>
        <a:prstGeom prst="ellipse">
          <a:avLst/>
        </a:prstGeom>
        <a:solidFill>
          <a:srgbClr val="FF0000"/>
        </a:solidFill>
        <a:ln w="952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67</xdr:col>
      <xdr:colOff>195220</xdr:colOff>
      <xdr:row>49</xdr:row>
      <xdr:rowOff>148033</xdr:rowOff>
    </xdr:from>
    <xdr:to>
      <xdr:col>67</xdr:col>
      <xdr:colOff>330554</xdr:colOff>
      <xdr:row>49</xdr:row>
      <xdr:rowOff>148625</xdr:rowOff>
    </xdr:to>
    <xdr:cxnSp macro="">
      <xdr:nvCxnSpPr>
        <xdr:cNvPr id="304" name="直線コネクタ 303">
          <a:extLst>
            <a:ext uri="{FF2B5EF4-FFF2-40B4-BE49-F238E27FC236}">
              <a16:creationId xmlns:a16="http://schemas.microsoft.com/office/drawing/2014/main" id="{823D2DC4-B2A5-0F6B-FD39-0813B4D84769}"/>
            </a:ext>
          </a:extLst>
        </xdr:cNvPr>
        <xdr:cNvCxnSpPr/>
      </xdr:nvCxnSpPr>
      <xdr:spPr bwMode="auto">
        <a:xfrm flipV="1">
          <a:off x="12692020" y="8349924"/>
          <a:ext cx="135334" cy="592"/>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67</xdr:col>
      <xdr:colOff>196534</xdr:colOff>
      <xdr:row>50</xdr:row>
      <xdr:rowOff>149884</xdr:rowOff>
    </xdr:from>
    <xdr:to>
      <xdr:col>67</xdr:col>
      <xdr:colOff>490014</xdr:colOff>
      <xdr:row>50</xdr:row>
      <xdr:rowOff>151790</xdr:rowOff>
    </xdr:to>
    <xdr:cxnSp macro="">
      <xdr:nvCxnSpPr>
        <xdr:cNvPr id="305" name="直線コネクタ 304">
          <a:extLst>
            <a:ext uri="{FF2B5EF4-FFF2-40B4-BE49-F238E27FC236}">
              <a16:creationId xmlns:a16="http://schemas.microsoft.com/office/drawing/2014/main" id="{8E0BD41C-0AA0-96FD-9F5A-D46137B8D908}"/>
            </a:ext>
          </a:extLst>
        </xdr:cNvPr>
        <xdr:cNvCxnSpPr/>
      </xdr:nvCxnSpPr>
      <xdr:spPr bwMode="auto">
        <a:xfrm flipV="1">
          <a:off x="12693334" y="8518029"/>
          <a:ext cx="293480" cy="1906"/>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67</xdr:col>
      <xdr:colOff>197628</xdr:colOff>
      <xdr:row>51</xdr:row>
      <xdr:rowOff>151732</xdr:rowOff>
    </xdr:from>
    <xdr:to>
      <xdr:col>68</xdr:col>
      <xdr:colOff>71897</xdr:colOff>
      <xdr:row>51</xdr:row>
      <xdr:rowOff>154952</xdr:rowOff>
    </xdr:to>
    <xdr:cxnSp macro="">
      <xdr:nvCxnSpPr>
        <xdr:cNvPr id="306" name="直線コネクタ 305">
          <a:extLst>
            <a:ext uri="{FF2B5EF4-FFF2-40B4-BE49-F238E27FC236}">
              <a16:creationId xmlns:a16="http://schemas.microsoft.com/office/drawing/2014/main" id="{C3B27163-194E-0E83-748B-74F6ECEBE6CB}"/>
            </a:ext>
          </a:extLst>
        </xdr:cNvPr>
        <xdr:cNvCxnSpPr/>
      </xdr:nvCxnSpPr>
      <xdr:spPr bwMode="auto">
        <a:xfrm flipV="1">
          <a:off x="12694428" y="8686132"/>
          <a:ext cx="483869" cy="3220"/>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67</xdr:col>
      <xdr:colOff>198942</xdr:colOff>
      <xdr:row>52</xdr:row>
      <xdr:rowOff>151546</xdr:rowOff>
    </xdr:from>
    <xdr:to>
      <xdr:col>68</xdr:col>
      <xdr:colOff>208635</xdr:colOff>
      <xdr:row>52</xdr:row>
      <xdr:rowOff>153581</xdr:rowOff>
    </xdr:to>
    <xdr:cxnSp macro="">
      <xdr:nvCxnSpPr>
        <xdr:cNvPr id="307" name="直線コネクタ 306">
          <a:extLst>
            <a:ext uri="{FF2B5EF4-FFF2-40B4-BE49-F238E27FC236}">
              <a16:creationId xmlns:a16="http://schemas.microsoft.com/office/drawing/2014/main" id="{32D6BE84-BB89-B962-F350-610B199A9BA4}"/>
            </a:ext>
          </a:extLst>
        </xdr:cNvPr>
        <xdr:cNvCxnSpPr/>
      </xdr:nvCxnSpPr>
      <xdr:spPr bwMode="auto">
        <a:xfrm>
          <a:off x="12695742" y="8852201"/>
          <a:ext cx="619293" cy="2035"/>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67</xdr:col>
      <xdr:colOff>195960</xdr:colOff>
      <xdr:row>53</xdr:row>
      <xdr:rowOff>154712</xdr:rowOff>
    </xdr:from>
    <xdr:to>
      <xdr:col>68</xdr:col>
      <xdr:colOff>348002</xdr:colOff>
      <xdr:row>53</xdr:row>
      <xdr:rowOff>154712</xdr:rowOff>
    </xdr:to>
    <xdr:cxnSp macro="">
      <xdr:nvCxnSpPr>
        <xdr:cNvPr id="308" name="直線コネクタ 307">
          <a:extLst>
            <a:ext uri="{FF2B5EF4-FFF2-40B4-BE49-F238E27FC236}">
              <a16:creationId xmlns:a16="http://schemas.microsoft.com/office/drawing/2014/main" id="{7FD341A1-B5B5-BA57-7CD1-61DCB94E7AAC}"/>
            </a:ext>
          </a:extLst>
        </xdr:cNvPr>
        <xdr:cNvCxnSpPr/>
      </xdr:nvCxnSpPr>
      <xdr:spPr bwMode="auto">
        <a:xfrm>
          <a:off x="12692760" y="9021621"/>
          <a:ext cx="761642" cy="0"/>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68</xdr:col>
      <xdr:colOff>158700</xdr:colOff>
      <xdr:row>49</xdr:row>
      <xdr:rowOff>140459</xdr:rowOff>
    </xdr:from>
    <xdr:to>
      <xdr:col>68</xdr:col>
      <xdr:colOff>159450</xdr:colOff>
      <xdr:row>50</xdr:row>
      <xdr:rowOff>141105</xdr:rowOff>
    </xdr:to>
    <xdr:cxnSp macro="">
      <xdr:nvCxnSpPr>
        <xdr:cNvPr id="309" name="直線コネクタ 308">
          <a:extLst>
            <a:ext uri="{FF2B5EF4-FFF2-40B4-BE49-F238E27FC236}">
              <a16:creationId xmlns:a16="http://schemas.microsoft.com/office/drawing/2014/main" id="{D011B09D-BA23-018A-B5DD-8AC34DD906CE}"/>
            </a:ext>
          </a:extLst>
        </xdr:cNvPr>
        <xdr:cNvCxnSpPr/>
      </xdr:nvCxnSpPr>
      <xdr:spPr bwMode="auto">
        <a:xfrm flipH="1">
          <a:off x="13265100" y="8342350"/>
          <a:ext cx="750" cy="166900"/>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68</xdr:col>
      <xdr:colOff>245526</xdr:colOff>
      <xdr:row>49</xdr:row>
      <xdr:rowOff>130111</xdr:rowOff>
    </xdr:from>
    <xdr:to>
      <xdr:col>68</xdr:col>
      <xdr:colOff>249194</xdr:colOff>
      <xdr:row>51</xdr:row>
      <xdr:rowOff>128025</xdr:rowOff>
    </xdr:to>
    <xdr:cxnSp macro="">
      <xdr:nvCxnSpPr>
        <xdr:cNvPr id="310" name="直線コネクタ 309">
          <a:extLst>
            <a:ext uri="{FF2B5EF4-FFF2-40B4-BE49-F238E27FC236}">
              <a16:creationId xmlns:a16="http://schemas.microsoft.com/office/drawing/2014/main" id="{72253A82-5D3A-215D-485A-7C2F53332BAC}"/>
            </a:ext>
          </a:extLst>
        </xdr:cNvPr>
        <xdr:cNvCxnSpPr/>
      </xdr:nvCxnSpPr>
      <xdr:spPr bwMode="auto">
        <a:xfrm flipH="1">
          <a:off x="13351926" y="8332002"/>
          <a:ext cx="3668" cy="330423"/>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68</xdr:col>
      <xdr:colOff>428554</xdr:colOff>
      <xdr:row>49</xdr:row>
      <xdr:rowOff>134311</xdr:rowOff>
    </xdr:from>
    <xdr:to>
      <xdr:col>68</xdr:col>
      <xdr:colOff>430462</xdr:colOff>
      <xdr:row>52</xdr:row>
      <xdr:rowOff>140792</xdr:rowOff>
    </xdr:to>
    <xdr:cxnSp macro="">
      <xdr:nvCxnSpPr>
        <xdr:cNvPr id="311" name="直線コネクタ 310">
          <a:extLst>
            <a:ext uri="{FF2B5EF4-FFF2-40B4-BE49-F238E27FC236}">
              <a16:creationId xmlns:a16="http://schemas.microsoft.com/office/drawing/2014/main" id="{F6569264-261F-65CF-2F01-28EAE081B391}"/>
            </a:ext>
          </a:extLst>
        </xdr:cNvPr>
        <xdr:cNvCxnSpPr/>
      </xdr:nvCxnSpPr>
      <xdr:spPr bwMode="auto">
        <a:xfrm>
          <a:off x="13534954" y="8336202"/>
          <a:ext cx="1908" cy="505245"/>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68</xdr:col>
      <xdr:colOff>600586</xdr:colOff>
      <xdr:row>49</xdr:row>
      <xdr:rowOff>139933</xdr:rowOff>
    </xdr:from>
    <xdr:to>
      <xdr:col>68</xdr:col>
      <xdr:colOff>603423</xdr:colOff>
      <xdr:row>53</xdr:row>
      <xdr:rowOff>140010</xdr:rowOff>
    </xdr:to>
    <xdr:cxnSp macro="">
      <xdr:nvCxnSpPr>
        <xdr:cNvPr id="312" name="直線コネクタ 311">
          <a:extLst>
            <a:ext uri="{FF2B5EF4-FFF2-40B4-BE49-F238E27FC236}">
              <a16:creationId xmlns:a16="http://schemas.microsoft.com/office/drawing/2014/main" id="{2222A899-2D05-C3B4-9372-D41DD821C648}"/>
            </a:ext>
          </a:extLst>
        </xdr:cNvPr>
        <xdr:cNvCxnSpPr/>
      </xdr:nvCxnSpPr>
      <xdr:spPr bwMode="auto">
        <a:xfrm>
          <a:off x="13706986" y="8341824"/>
          <a:ext cx="2837" cy="665095"/>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twoCellAnchor>
    <xdr:from>
      <xdr:col>69</xdr:col>
      <xdr:colOff>195699</xdr:colOff>
      <xdr:row>49</xdr:row>
      <xdr:rowOff>129289</xdr:rowOff>
    </xdr:from>
    <xdr:to>
      <xdr:col>69</xdr:col>
      <xdr:colOff>199466</xdr:colOff>
      <xdr:row>54</xdr:row>
      <xdr:rowOff>130895</xdr:rowOff>
    </xdr:to>
    <xdr:cxnSp macro="">
      <xdr:nvCxnSpPr>
        <xdr:cNvPr id="313" name="直線コネクタ 312">
          <a:extLst>
            <a:ext uri="{FF2B5EF4-FFF2-40B4-BE49-F238E27FC236}">
              <a16:creationId xmlns:a16="http://schemas.microsoft.com/office/drawing/2014/main" id="{5FC66515-E5F4-8A69-225B-7088705A62C9}"/>
            </a:ext>
          </a:extLst>
        </xdr:cNvPr>
        <xdr:cNvCxnSpPr/>
      </xdr:nvCxnSpPr>
      <xdr:spPr bwMode="auto">
        <a:xfrm>
          <a:off x="13911699" y="8331180"/>
          <a:ext cx="3767" cy="832879"/>
        </a:xfrm>
        <a:prstGeom prst="line">
          <a:avLst/>
        </a:prstGeom>
        <a:solidFill>
          <a:srgbClr val="FFFFFF"/>
        </a:solidFill>
        <a:ln w="28575" cap="flat" cmpd="sng" algn="ctr">
          <a:solidFill>
            <a:srgbClr val="FF0000"/>
          </a:solidFill>
          <a:prstDash val="solid"/>
          <a:round/>
          <a:headEnd type="none" w="med" len="med"/>
          <a:tailEnd type="none" w="med" len="med"/>
        </a:ln>
        <a:effec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60960</xdr:colOff>
      <xdr:row>18</xdr:row>
      <xdr:rowOff>264160</xdr:rowOff>
    </xdr:from>
    <xdr:to>
      <xdr:col>8</xdr:col>
      <xdr:colOff>264160</xdr:colOff>
      <xdr:row>19</xdr:row>
      <xdr:rowOff>213360</xdr:rowOff>
    </xdr:to>
    <xdr:sp macro="" textlink="">
      <xdr:nvSpPr>
        <xdr:cNvPr id="2" name="楕円 1">
          <a:extLst>
            <a:ext uri="{FF2B5EF4-FFF2-40B4-BE49-F238E27FC236}">
              <a16:creationId xmlns:a16="http://schemas.microsoft.com/office/drawing/2014/main" id="{00000000-0008-0000-0700-000002000000}"/>
            </a:ext>
          </a:extLst>
        </xdr:cNvPr>
        <xdr:cNvSpPr/>
      </xdr:nvSpPr>
      <xdr:spPr>
        <a:xfrm>
          <a:off x="2225040" y="4958080"/>
          <a:ext cx="792480" cy="264160"/>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60960</xdr:colOff>
      <xdr:row>18</xdr:row>
      <xdr:rowOff>304800</xdr:rowOff>
    </xdr:from>
    <xdr:to>
      <xdr:col>24</xdr:col>
      <xdr:colOff>121920</xdr:colOff>
      <xdr:row>19</xdr:row>
      <xdr:rowOff>254000</xdr:rowOff>
    </xdr:to>
    <xdr:sp macro="" textlink="">
      <xdr:nvSpPr>
        <xdr:cNvPr id="3" name="楕円 2">
          <a:extLst>
            <a:ext uri="{FF2B5EF4-FFF2-40B4-BE49-F238E27FC236}">
              <a16:creationId xmlns:a16="http://schemas.microsoft.com/office/drawing/2014/main" id="{00000000-0008-0000-0700-000003000000}"/>
            </a:ext>
          </a:extLst>
        </xdr:cNvPr>
        <xdr:cNvSpPr/>
      </xdr:nvSpPr>
      <xdr:spPr>
        <a:xfrm>
          <a:off x="5882640" y="4998720"/>
          <a:ext cx="792480" cy="264160"/>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19</xdr:col>
      <xdr:colOff>142240</xdr:colOff>
      <xdr:row>5</xdr:row>
      <xdr:rowOff>50800</xdr:rowOff>
    </xdr:from>
    <xdr:ext cx="275653" cy="311496"/>
    <xdr:sp macro="" textlink="">
      <xdr:nvSpPr>
        <xdr:cNvPr id="4" name="テキスト ボックス 3">
          <a:extLst>
            <a:ext uri="{FF2B5EF4-FFF2-40B4-BE49-F238E27FC236}">
              <a16:creationId xmlns:a16="http://schemas.microsoft.com/office/drawing/2014/main" id="{00000000-0008-0000-0700-000004000000}"/>
            </a:ext>
          </a:extLst>
        </xdr:cNvPr>
        <xdr:cNvSpPr txBox="1"/>
      </xdr:nvSpPr>
      <xdr:spPr>
        <a:xfrm>
          <a:off x="5781040" y="1158240"/>
          <a:ext cx="2756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400"/>
            <a:t>0</a:t>
          </a:r>
        </a:p>
      </xdr:txBody>
    </xdr:sp>
    <xdr:clientData/>
  </xdr:oneCellAnchor>
  <xdr:twoCellAnchor>
    <xdr:from>
      <xdr:col>5</xdr:col>
      <xdr:colOff>116840</xdr:colOff>
      <xdr:row>7</xdr:row>
      <xdr:rowOff>203200</xdr:rowOff>
    </xdr:from>
    <xdr:to>
      <xdr:col>6</xdr:col>
      <xdr:colOff>76200</xdr:colOff>
      <xdr:row>9</xdr:row>
      <xdr:rowOff>20320</xdr:rowOff>
    </xdr:to>
    <xdr:sp macro="" textlink="">
      <xdr:nvSpPr>
        <xdr:cNvPr id="5" name="楕円 2">
          <a:extLst>
            <a:ext uri="{FF2B5EF4-FFF2-40B4-BE49-F238E27FC236}">
              <a16:creationId xmlns:a16="http://schemas.microsoft.com/office/drawing/2014/main" id="{00000000-0008-0000-0700-000005000000}"/>
            </a:ext>
          </a:extLst>
        </xdr:cNvPr>
        <xdr:cNvSpPr/>
      </xdr:nvSpPr>
      <xdr:spPr>
        <a:xfrm>
          <a:off x="2199640" y="1739900"/>
          <a:ext cx="289560" cy="248920"/>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213360</xdr:colOff>
      <xdr:row>16</xdr:row>
      <xdr:rowOff>50800</xdr:rowOff>
    </xdr:from>
    <xdr:to>
      <xdr:col>7</xdr:col>
      <xdr:colOff>172720</xdr:colOff>
      <xdr:row>16</xdr:row>
      <xdr:rowOff>274320</xdr:rowOff>
    </xdr:to>
    <xdr:sp macro="" textlink="">
      <xdr:nvSpPr>
        <xdr:cNvPr id="6" name="楕円 2">
          <a:extLst>
            <a:ext uri="{FF2B5EF4-FFF2-40B4-BE49-F238E27FC236}">
              <a16:creationId xmlns:a16="http://schemas.microsoft.com/office/drawing/2014/main" id="{12D7AA30-3C41-4BEE-AE86-5916FD7DCFD7}"/>
            </a:ext>
          </a:extLst>
        </xdr:cNvPr>
        <xdr:cNvSpPr/>
      </xdr:nvSpPr>
      <xdr:spPr>
        <a:xfrm>
          <a:off x="2377440" y="4114800"/>
          <a:ext cx="254000" cy="223520"/>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214313</xdr:colOff>
      <xdr:row>30</xdr:row>
      <xdr:rowOff>5954</xdr:rowOff>
    </xdr:from>
    <xdr:to>
      <xdr:col>13</xdr:col>
      <xdr:colOff>29766</xdr:colOff>
      <xdr:row>31</xdr:row>
      <xdr:rowOff>35719</xdr:rowOff>
    </xdr:to>
    <xdr:sp macro="" textlink="">
      <xdr:nvSpPr>
        <xdr:cNvPr id="2" name="楕円 1">
          <a:extLst>
            <a:ext uri="{FF2B5EF4-FFF2-40B4-BE49-F238E27FC236}">
              <a16:creationId xmlns:a16="http://schemas.microsoft.com/office/drawing/2014/main" id="{C039F6E3-6050-4081-A12C-1635949DCE41}"/>
            </a:ext>
          </a:extLst>
        </xdr:cNvPr>
        <xdr:cNvSpPr/>
      </xdr:nvSpPr>
      <xdr:spPr>
        <a:xfrm>
          <a:off x="3738563" y="7125892"/>
          <a:ext cx="339328" cy="238124"/>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39291</xdr:colOff>
      <xdr:row>30</xdr:row>
      <xdr:rowOff>200025</xdr:rowOff>
    </xdr:from>
    <xdr:to>
      <xdr:col>25</xdr:col>
      <xdr:colOff>9526</xdr:colOff>
      <xdr:row>32</xdr:row>
      <xdr:rowOff>21431</xdr:rowOff>
    </xdr:to>
    <xdr:sp macro="" textlink="">
      <xdr:nvSpPr>
        <xdr:cNvPr id="3" name="楕円 2">
          <a:extLst>
            <a:ext uri="{FF2B5EF4-FFF2-40B4-BE49-F238E27FC236}">
              <a16:creationId xmlns:a16="http://schemas.microsoft.com/office/drawing/2014/main" id="{0C213C97-5E05-48FA-BC7B-C464619E0D63}"/>
            </a:ext>
          </a:extLst>
        </xdr:cNvPr>
        <xdr:cNvSpPr/>
      </xdr:nvSpPr>
      <xdr:spPr>
        <a:xfrm>
          <a:off x="6397229" y="7319963"/>
          <a:ext cx="339328" cy="238124"/>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120254</xdr:colOff>
      <xdr:row>32</xdr:row>
      <xdr:rowOff>60723</xdr:rowOff>
    </xdr:from>
    <xdr:to>
      <xdr:col>5</xdr:col>
      <xdr:colOff>185739</xdr:colOff>
      <xdr:row>33</xdr:row>
      <xdr:rowOff>90487</xdr:rowOff>
    </xdr:to>
    <xdr:sp macro="" textlink="">
      <xdr:nvSpPr>
        <xdr:cNvPr id="4" name="楕円 3">
          <a:extLst>
            <a:ext uri="{FF2B5EF4-FFF2-40B4-BE49-F238E27FC236}">
              <a16:creationId xmlns:a16="http://schemas.microsoft.com/office/drawing/2014/main" id="{BA3CBA58-EA9A-496E-B835-5BADB51A63D3}"/>
            </a:ext>
          </a:extLst>
        </xdr:cNvPr>
        <xdr:cNvSpPr/>
      </xdr:nvSpPr>
      <xdr:spPr>
        <a:xfrm>
          <a:off x="1715692" y="7597379"/>
          <a:ext cx="339328" cy="238124"/>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95250</xdr:colOff>
      <xdr:row>7</xdr:row>
      <xdr:rowOff>196453</xdr:rowOff>
    </xdr:from>
    <xdr:to>
      <xdr:col>6</xdr:col>
      <xdr:colOff>57547</xdr:colOff>
      <xdr:row>9</xdr:row>
      <xdr:rowOff>3254</xdr:rowOff>
    </xdr:to>
    <xdr:sp macro="" textlink="">
      <xdr:nvSpPr>
        <xdr:cNvPr id="5" name="楕円 2">
          <a:extLst>
            <a:ext uri="{FF2B5EF4-FFF2-40B4-BE49-F238E27FC236}">
              <a16:creationId xmlns:a16="http://schemas.microsoft.com/office/drawing/2014/main" id="{0B552875-1D12-4FCB-9562-74E2C0000AA8}"/>
            </a:ext>
          </a:extLst>
        </xdr:cNvPr>
        <xdr:cNvSpPr/>
      </xdr:nvSpPr>
      <xdr:spPr>
        <a:xfrm>
          <a:off x="1964531" y="1500187"/>
          <a:ext cx="254000" cy="223520"/>
        </a:xfrm>
        <a:prstGeom prst="ellipse">
          <a:avLst/>
        </a:prstGeom>
        <a:no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93198</xdr:colOff>
      <xdr:row>4</xdr:row>
      <xdr:rowOff>11723</xdr:rowOff>
    </xdr:from>
    <xdr:to>
      <xdr:col>11</xdr:col>
      <xdr:colOff>436604</xdr:colOff>
      <xdr:row>5</xdr:row>
      <xdr:rowOff>11723</xdr:rowOff>
    </xdr:to>
    <xdr:sp macro="" textlink="">
      <xdr:nvSpPr>
        <xdr:cNvPr id="2" name="円/楕円 1">
          <a:extLst>
            <a:ext uri="{FF2B5EF4-FFF2-40B4-BE49-F238E27FC236}">
              <a16:creationId xmlns:a16="http://schemas.microsoft.com/office/drawing/2014/main" id="{6DEF8F4A-A899-4EE4-8CC6-70E460FD8B74}"/>
            </a:ext>
          </a:extLst>
        </xdr:cNvPr>
        <xdr:cNvSpPr/>
      </xdr:nvSpPr>
      <xdr:spPr>
        <a:xfrm>
          <a:off x="4559690" y="937846"/>
          <a:ext cx="343406" cy="187569"/>
        </a:xfrm>
        <a:prstGeom prst="ellipse">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ja-JP" altLang="en-US"/>
        </a:p>
      </xdr:txBody>
    </xdr:sp>
    <xdr:clientData/>
  </xdr:twoCellAnchor>
  <xdr:twoCellAnchor>
    <xdr:from>
      <xdr:col>10</xdr:col>
      <xdr:colOff>527537</xdr:colOff>
      <xdr:row>6</xdr:row>
      <xdr:rowOff>108440</xdr:rowOff>
    </xdr:from>
    <xdr:to>
      <xdr:col>11</xdr:col>
      <xdr:colOff>63638</xdr:colOff>
      <xdr:row>7</xdr:row>
      <xdr:rowOff>33330</xdr:rowOff>
    </xdr:to>
    <xdr:sp macro="" textlink="">
      <xdr:nvSpPr>
        <xdr:cNvPr id="3" name="円/楕円 2">
          <a:extLst>
            <a:ext uri="{FF2B5EF4-FFF2-40B4-BE49-F238E27FC236}">
              <a16:creationId xmlns:a16="http://schemas.microsoft.com/office/drawing/2014/main" id="{2B53CF08-E915-49E6-AF3C-66550EF47D18}"/>
            </a:ext>
          </a:extLst>
        </xdr:cNvPr>
        <xdr:cNvSpPr/>
      </xdr:nvSpPr>
      <xdr:spPr>
        <a:xfrm>
          <a:off x="4302368" y="1550378"/>
          <a:ext cx="227762" cy="253137"/>
        </a:xfrm>
        <a:prstGeom prst="ellipse">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ja-JP" alt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361950</xdr:colOff>
      <xdr:row>3</xdr:row>
      <xdr:rowOff>76200</xdr:rowOff>
    </xdr:from>
    <xdr:to>
      <xdr:col>5</xdr:col>
      <xdr:colOff>0</xdr:colOff>
      <xdr:row>3</xdr:row>
      <xdr:rowOff>200025</xdr:rowOff>
    </xdr:to>
    <xdr:sp macro="" textlink="">
      <xdr:nvSpPr>
        <xdr:cNvPr id="2" name="AutoShape 4">
          <a:extLst>
            <a:ext uri="{FF2B5EF4-FFF2-40B4-BE49-F238E27FC236}">
              <a16:creationId xmlns:a16="http://schemas.microsoft.com/office/drawing/2014/main" id="{00000000-0008-0000-0C00-000002000000}"/>
            </a:ext>
          </a:extLst>
        </xdr:cNvPr>
        <xdr:cNvSpPr>
          <a:spLocks noChangeArrowheads="1"/>
        </xdr:cNvSpPr>
      </xdr:nvSpPr>
      <xdr:spPr bwMode="auto">
        <a:xfrm>
          <a:off x="3813810" y="579120"/>
          <a:ext cx="1939290" cy="93345"/>
        </a:xfrm>
        <a:prstGeom prst="rightArrow">
          <a:avLst>
            <a:gd name="adj1" fmla="val 50000"/>
            <a:gd name="adj2" fmla="val 2849"/>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1066800</xdr:colOff>
      <xdr:row>3</xdr:row>
      <xdr:rowOff>104775</xdr:rowOff>
    </xdr:from>
    <xdr:to>
      <xdr:col>7</xdr:col>
      <xdr:colOff>114300</xdr:colOff>
      <xdr:row>3</xdr:row>
      <xdr:rowOff>228600</xdr:rowOff>
    </xdr:to>
    <xdr:sp macro="" textlink="">
      <xdr:nvSpPr>
        <xdr:cNvPr id="3" name="AutoShape 7">
          <a:extLst>
            <a:ext uri="{FF2B5EF4-FFF2-40B4-BE49-F238E27FC236}">
              <a16:creationId xmlns:a16="http://schemas.microsoft.com/office/drawing/2014/main" id="{00000000-0008-0000-0C00-000003000000}"/>
            </a:ext>
          </a:extLst>
        </xdr:cNvPr>
        <xdr:cNvSpPr>
          <a:spLocks noChangeArrowheads="1"/>
        </xdr:cNvSpPr>
      </xdr:nvSpPr>
      <xdr:spPr bwMode="auto">
        <a:xfrm>
          <a:off x="7970520" y="607695"/>
          <a:ext cx="198120" cy="62865"/>
        </a:xfrm>
        <a:prstGeom prst="rightArrow">
          <a:avLst>
            <a:gd name="adj1" fmla="val 50000"/>
            <a:gd name="adj2" fmla="val 13432"/>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876300</xdr:colOff>
      <xdr:row>3</xdr:row>
      <xdr:rowOff>114300</xdr:rowOff>
    </xdr:from>
    <xdr:to>
      <xdr:col>12</xdr:col>
      <xdr:colOff>114300</xdr:colOff>
      <xdr:row>3</xdr:row>
      <xdr:rowOff>238125</xdr:rowOff>
    </xdr:to>
    <xdr:sp macro="" textlink="">
      <xdr:nvSpPr>
        <xdr:cNvPr id="4" name="AutoShape 8">
          <a:extLst>
            <a:ext uri="{FF2B5EF4-FFF2-40B4-BE49-F238E27FC236}">
              <a16:creationId xmlns:a16="http://schemas.microsoft.com/office/drawing/2014/main" id="{00000000-0008-0000-0C00-000004000000}"/>
            </a:ext>
          </a:extLst>
        </xdr:cNvPr>
        <xdr:cNvSpPr>
          <a:spLocks noChangeArrowheads="1"/>
        </xdr:cNvSpPr>
      </xdr:nvSpPr>
      <xdr:spPr bwMode="auto">
        <a:xfrm>
          <a:off x="13533120" y="617220"/>
          <a:ext cx="388620" cy="55245"/>
        </a:xfrm>
        <a:prstGeom prst="rightArrow">
          <a:avLst>
            <a:gd name="adj1" fmla="val 50000"/>
            <a:gd name="adj2" fmla="val 7247"/>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rontier-3\c\Users\frontier-2\Desktop\31&#26045;&#24037;&#27880;&#25991;&#26360;&#65288;&#25913;&#23450;111201&#65306;&#29987;&#24259;&#33258;&#12425;&#36939;&#25644;&#35475;&#32004;&#26360;&#65289;120119&#20462;&#2749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施工注文書（TEG専用）"/>
      <sheetName val="施工注文書（産廃なし）"/>
      <sheetName val="施工注文書（産廃あり）"/>
      <sheetName val="施工注文書（記入例）"/>
      <sheetName val="施工店名簿"/>
    </sheetNames>
    <sheetDataSet>
      <sheetData sheetId="0" refreshError="1"/>
      <sheetData sheetId="1"/>
      <sheetData sheetId="2" refreshError="1"/>
      <sheetData sheetId="3" refreshError="1"/>
      <sheetData sheetId="4">
        <row r="6">
          <cell r="C6" t="str">
            <v>TOTOエンジニアリング</v>
          </cell>
          <cell r="AC6" t="str">
            <v>洗面化粧台取替</v>
          </cell>
        </row>
        <row r="7">
          <cell r="C7" t="str">
            <v>エイト住工</v>
          </cell>
        </row>
        <row r="8">
          <cell r="C8" t="str">
            <v>エクセレントシステム</v>
          </cell>
          <cell r="AC8" t="str">
            <v>便器取替</v>
          </cell>
        </row>
        <row r="9">
          <cell r="C9" t="str">
            <v>エス工業</v>
          </cell>
          <cell r="AC9" t="str">
            <v>ウォシュレット取替</v>
          </cell>
        </row>
        <row r="10">
          <cell r="C10" t="str">
            <v>エヌワン</v>
          </cell>
          <cell r="AC10" t="str">
            <v>システムキッチン据付</v>
          </cell>
        </row>
        <row r="11">
          <cell r="C11" t="str">
            <v>カサイ</v>
          </cell>
          <cell r="AC11" t="str">
            <v>水栓金具取替</v>
          </cell>
        </row>
        <row r="12">
          <cell r="C12" t="str">
            <v>KAWASAKI</v>
          </cell>
          <cell r="AC12" t="str">
            <v>ユニットバス据付</v>
          </cell>
        </row>
        <row r="13">
          <cell r="C13" t="str">
            <v>川上スタイル社</v>
          </cell>
          <cell r="AC13" t="str">
            <v>システムバス据付</v>
          </cell>
        </row>
        <row r="14">
          <cell r="C14" t="str">
            <v>(有)九設ユニット工販</v>
          </cell>
          <cell r="AC14" t="str">
            <v>エアコン設置</v>
          </cell>
        </row>
        <row r="15">
          <cell r="C15" t="str">
            <v>グッドライフシステム</v>
          </cell>
          <cell r="AC15" t="str">
            <v>換気扇取替</v>
          </cell>
        </row>
        <row r="16">
          <cell r="C16" t="str">
            <v>コウキデンキ</v>
          </cell>
          <cell r="AC16" t="str">
            <v>三乾王取付</v>
          </cell>
        </row>
        <row r="17">
          <cell r="C17" t="str">
            <v>センタービッグ</v>
          </cell>
        </row>
        <row r="18">
          <cell r="C18" t="str">
            <v>ツインテック</v>
          </cell>
          <cell r="AC18" t="str">
            <v>新築</v>
          </cell>
        </row>
        <row r="19">
          <cell r="C19" t="str">
            <v>富永ユニット</v>
          </cell>
          <cell r="AC19" t="str">
            <v>リモデル</v>
          </cell>
        </row>
        <row r="20">
          <cell r="C20" t="str">
            <v>創和技建</v>
          </cell>
        </row>
        <row r="21">
          <cell r="C21" t="str">
            <v>ワイズクリエイティブ</v>
          </cell>
          <cell r="AC21" t="str">
            <v>軽自動車</v>
          </cell>
        </row>
        <row r="22">
          <cell r="C22" t="str">
            <v>アクアシステム</v>
          </cell>
          <cell r="AC22" t="str">
            <v>2tショート以下</v>
          </cell>
        </row>
        <row r="23">
          <cell r="C23" t="str">
            <v>（株）Ｙ・Ｓ</v>
          </cell>
          <cell r="AC23" t="str">
            <v>2tロング以上</v>
          </cell>
        </row>
        <row r="24">
          <cell r="C24" t="str">
            <v xml:space="preserve">F・U・Y  </v>
          </cell>
        </row>
        <row r="25">
          <cell r="C25" t="str">
            <v>(株）ユニファイ</v>
          </cell>
          <cell r="AC25" t="str">
            <v xml:space="preserve">梱包材  </v>
          </cell>
        </row>
        <row r="26">
          <cell r="C26" t="str">
            <v>シーエスハウス（有）</v>
          </cell>
          <cell r="AC26" t="str">
            <v xml:space="preserve">解体ガラ  </v>
          </cell>
        </row>
        <row r="27">
          <cell r="C27" t="str">
            <v>川上タイル</v>
          </cell>
          <cell r="AC27" t="str">
            <v xml:space="preserve">浴槽・流し台・ＬＤ・ＷＬ </v>
          </cell>
        </row>
        <row r="28">
          <cell r="C28" t="str">
            <v>深水タイル</v>
          </cell>
          <cell r="AC28" t="str">
            <v xml:space="preserve">ＵＢ・ＳＫ  </v>
          </cell>
        </row>
        <row r="29">
          <cell r="C29" t="str">
            <v>インテリア大坪</v>
          </cell>
          <cell r="AC29" t="str">
            <v xml:space="preserve">その他（）  </v>
          </cell>
        </row>
        <row r="30">
          <cell r="C30" t="str">
            <v>シロウズケンソウ</v>
          </cell>
        </row>
        <row r="31">
          <cell r="C31" t="str">
            <v>（株）ハリマ</v>
          </cell>
        </row>
        <row r="32">
          <cell r="C32" t="str">
            <v>ライフシステム</v>
          </cell>
        </row>
        <row r="33">
          <cell r="C33" t="str">
            <v>藤井技建</v>
          </cell>
        </row>
        <row r="34">
          <cell r="C34" t="str">
            <v>宮本グラスウインドウズ</v>
          </cell>
        </row>
        <row r="35">
          <cell r="C35" t="str">
            <v>小田部アルミ建材</v>
          </cell>
        </row>
        <row r="36">
          <cell r="C36" t="str">
            <v>㈱貴和住建</v>
          </cell>
        </row>
        <row r="38">
          <cell r="C38" t="str">
            <v>（有）ユーテック大分</v>
          </cell>
        </row>
        <row r="39">
          <cell r="C39" t="str">
            <v>リフォームショップサザン</v>
          </cell>
        </row>
        <row r="40">
          <cell r="C40" t="str">
            <v>興匠技建</v>
          </cell>
        </row>
        <row r="41">
          <cell r="C41" t="str">
            <v>（有）バウハウス</v>
          </cell>
        </row>
        <row r="42">
          <cell r="C42" t="str">
            <v>インテリア-ナカ別府</v>
          </cell>
        </row>
        <row r="44">
          <cell r="C44" t="str">
            <v>橋本住器</v>
          </cell>
        </row>
        <row r="46">
          <cell r="C46" t="str">
            <v>（有）イケダ</v>
          </cell>
        </row>
        <row r="47">
          <cell r="C47" t="str">
            <v>ファインシステム㈱</v>
          </cell>
        </row>
        <row r="49">
          <cell r="C49" t="str">
            <v>プレジール</v>
          </cell>
        </row>
        <row r="50">
          <cell r="C50" t="str">
            <v>共立設備</v>
          </cell>
        </row>
        <row r="51">
          <cell r="C51" t="str">
            <v>ＭＴワークス</v>
          </cell>
        </row>
        <row r="53">
          <cell r="C53" t="str">
            <v>(有)MIKUTO工業</v>
          </cell>
        </row>
        <row r="54">
          <cell r="C54" t="str">
            <v>K,プロジェクト</v>
          </cell>
        </row>
        <row r="56">
          <cell r="C56" t="str">
            <v>（有）段工務店</v>
          </cell>
        </row>
        <row r="57">
          <cell r="C57" t="str">
            <v>建築業ナス</v>
          </cell>
        </row>
        <row r="58">
          <cell r="C58" t="str">
            <v>宮川建築</v>
          </cell>
        </row>
        <row r="59">
          <cell r="C59" t="str">
            <v>福田サービスセンター</v>
          </cell>
        </row>
        <row r="60">
          <cell r="C60" t="str">
            <v>（株）和氣</v>
          </cell>
        </row>
        <row r="61">
          <cell r="C61" t="str">
            <v>聖工務店</v>
          </cell>
        </row>
        <row r="62">
          <cell r="C62" t="str">
            <v>㈱フロンティア</v>
          </cell>
        </row>
        <row r="63">
          <cell r="C63" t="str">
            <v>芳建築</v>
          </cell>
        </row>
        <row r="64">
          <cell r="C64" t="str">
            <v>(有)建築原田</v>
          </cell>
        </row>
        <row r="66">
          <cell r="C66" t="str">
            <v>(有)三共社</v>
          </cell>
        </row>
        <row r="67">
          <cell r="C67" t="str">
            <v>リコナ</v>
          </cell>
        </row>
        <row r="68">
          <cell r="C68" t="str">
            <v>アット・ホーム</v>
          </cell>
        </row>
        <row r="69">
          <cell r="C69" t="str">
            <v>（有）ウエダホーム</v>
          </cell>
        </row>
        <row r="70">
          <cell r="C70" t="str">
            <v>（株）松永塗装</v>
          </cell>
        </row>
        <row r="71">
          <cell r="C71" t="str">
            <v>（有）小松野電気</v>
          </cell>
        </row>
        <row r="72">
          <cell r="C72" t="str">
            <v>クラフト　ナカムラ</v>
          </cell>
        </row>
        <row r="73">
          <cell r="C73" t="str">
            <v>ふくい電器</v>
          </cell>
        </row>
        <row r="74">
          <cell r="C74" t="str">
            <v>システップ九州</v>
          </cell>
        </row>
        <row r="75">
          <cell r="C75" t="str">
            <v>（有）賀久住設</v>
          </cell>
        </row>
        <row r="76">
          <cell r="C76" t="str">
            <v>たなかエクステリア</v>
          </cell>
        </row>
        <row r="77">
          <cell r="C77" t="str">
            <v>ヤマムロ設備</v>
          </cell>
        </row>
        <row r="79">
          <cell r="C79" t="str">
            <v>（有）本村住設</v>
          </cell>
        </row>
        <row r="80">
          <cell r="C80" t="str">
            <v>新栄テック</v>
          </cell>
        </row>
        <row r="81">
          <cell r="C81" t="str">
            <v>（有）スペース・イン・ウエノ</v>
          </cell>
        </row>
        <row r="83">
          <cell r="C83" t="str">
            <v>清伸住設</v>
          </cell>
        </row>
        <row r="84">
          <cell r="C84" t="str">
            <v>（有）ウイング宮崎</v>
          </cell>
        </row>
        <row r="85">
          <cell r="C85" t="str">
            <v>東伸商会</v>
          </cell>
        </row>
        <row r="86">
          <cell r="C86" t="str">
            <v>スクエア</v>
          </cell>
        </row>
        <row r="88">
          <cell r="C88" t="str">
            <v>（株）クラフト</v>
          </cell>
        </row>
        <row r="89">
          <cell r="C89" t="str">
            <v>比嘉住設</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H9"/>
  <sheetViews>
    <sheetView tabSelected="1" workbookViewId="0">
      <selection activeCell="B18" sqref="B18"/>
    </sheetView>
  </sheetViews>
  <sheetFormatPr defaultRowHeight="13"/>
  <cols>
    <col min="1" max="1" width="14.08984375" bestFit="1" customWidth="1"/>
    <col min="2" max="2" width="7.08984375" style="72" customWidth="1"/>
    <col min="3" max="3" width="5" customWidth="1"/>
    <col min="4" max="4" width="4.08984375" customWidth="1"/>
    <col min="5" max="5" width="6.36328125" customWidth="1"/>
    <col min="6" max="6" width="3.81640625" customWidth="1"/>
    <col min="7" max="7" width="4.81640625" customWidth="1"/>
    <col min="8" max="8" width="5.1796875" customWidth="1"/>
  </cols>
  <sheetData>
    <row r="1" spans="1:8">
      <c r="A1" t="s">
        <v>74</v>
      </c>
    </row>
    <row r="3" spans="1:8" ht="14.5">
      <c r="A3" s="114" t="s">
        <v>20</v>
      </c>
      <c r="B3" s="430"/>
      <c r="C3" s="431"/>
      <c r="D3" s="431"/>
      <c r="E3" s="431"/>
      <c r="F3" s="431"/>
      <c r="G3" s="431"/>
      <c r="H3" s="432"/>
    </row>
    <row r="4" spans="1:8" ht="14.5">
      <c r="A4" s="114" t="s">
        <v>205</v>
      </c>
      <c r="B4" s="430"/>
      <c r="C4" s="431"/>
      <c r="D4" s="431"/>
      <c r="E4" s="431"/>
      <c r="F4" s="431"/>
      <c r="G4" s="431"/>
      <c r="H4" s="432"/>
    </row>
    <row r="5" spans="1:8" ht="14.5">
      <c r="A5" s="114" t="s">
        <v>21</v>
      </c>
      <c r="B5" s="430"/>
      <c r="C5" s="431"/>
      <c r="D5" s="431"/>
      <c r="E5" s="431"/>
      <c r="F5" s="431"/>
      <c r="G5" s="431"/>
      <c r="H5" s="432"/>
    </row>
    <row r="6" spans="1:8" ht="14.5">
      <c r="A6" s="114" t="s">
        <v>22</v>
      </c>
      <c r="B6" s="430"/>
      <c r="C6" s="431"/>
      <c r="D6" s="431"/>
      <c r="E6" s="431"/>
      <c r="F6" s="431"/>
      <c r="G6" s="431"/>
      <c r="H6" s="432"/>
    </row>
    <row r="7" spans="1:8" ht="14.5">
      <c r="A7" s="114" t="s">
        <v>23</v>
      </c>
      <c r="B7" s="434"/>
      <c r="C7" s="431"/>
      <c r="D7" s="431"/>
      <c r="E7" s="431"/>
      <c r="F7" s="431"/>
      <c r="G7" s="431"/>
      <c r="H7" s="432"/>
    </row>
    <row r="8" spans="1:8" ht="14.5">
      <c r="A8" s="114" t="s">
        <v>24</v>
      </c>
      <c r="B8" s="433"/>
      <c r="C8" s="431"/>
      <c r="D8" s="431"/>
      <c r="E8" s="431"/>
      <c r="F8" s="431"/>
      <c r="G8" s="431"/>
      <c r="H8" s="432"/>
    </row>
    <row r="9" spans="1:8">
      <c r="A9" s="114" t="s">
        <v>331</v>
      </c>
      <c r="B9" s="425" t="s">
        <v>1354</v>
      </c>
      <c r="C9" s="400"/>
      <c r="D9" s="400" t="s">
        <v>1355</v>
      </c>
      <c r="E9" s="400"/>
      <c r="F9" s="400" t="s">
        <v>1356</v>
      </c>
      <c r="G9" s="400"/>
      <c r="H9" s="400" t="s">
        <v>1357</v>
      </c>
    </row>
  </sheetData>
  <mergeCells count="6">
    <mergeCell ref="B3:H3"/>
    <mergeCell ref="B8:H8"/>
    <mergeCell ref="B7:H7"/>
    <mergeCell ref="B6:H6"/>
    <mergeCell ref="B5:H5"/>
    <mergeCell ref="B4:H4"/>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T22"/>
  <sheetViews>
    <sheetView workbookViewId="0">
      <selection activeCell="F25" sqref="F25"/>
    </sheetView>
  </sheetViews>
  <sheetFormatPr defaultColWidth="8.81640625" defaultRowHeight="17.5"/>
  <cols>
    <col min="1" max="1" width="1.08984375" style="73" customWidth="1"/>
    <col min="2" max="2" width="8.81640625" style="73"/>
    <col min="3" max="3" width="22.453125" style="73" customWidth="1"/>
    <col min="4" max="4" width="9" style="73" customWidth="1"/>
    <col min="5" max="5" width="6.6328125" style="73" customWidth="1"/>
    <col min="6" max="6" width="10.08984375" style="73" customWidth="1"/>
    <col min="7" max="7" width="11.6328125" style="73" customWidth="1"/>
    <col min="8" max="8" width="17.6328125" style="73" customWidth="1"/>
    <col min="9" max="9" width="4.6328125" style="73" customWidth="1"/>
    <col min="10" max="10" width="10.08984375" style="73" customWidth="1"/>
    <col min="11" max="11" width="11.6328125" style="73" customWidth="1"/>
    <col min="12" max="12" width="17.6328125" style="73" customWidth="1"/>
    <col min="13" max="13" width="1.08984375" style="75" customWidth="1"/>
    <col min="14" max="16384" width="8.81640625" style="73"/>
  </cols>
  <sheetData>
    <row r="1" spans="2:20" ht="19.5" customHeight="1" thickBot="1">
      <c r="I1" s="74"/>
      <c r="J1" s="76"/>
      <c r="K1" s="445"/>
      <c r="L1" s="445"/>
    </row>
    <row r="2" spans="2:20" ht="25.5" customHeight="1" thickBot="1">
      <c r="B2" s="77" t="s">
        <v>27</v>
      </c>
      <c r="C2" s="78">
        <f>K19</f>
        <v>0</v>
      </c>
      <c r="D2" s="79"/>
      <c r="I2" s="74"/>
      <c r="J2" s="445"/>
      <c r="K2" s="445"/>
      <c r="L2" s="445"/>
    </row>
    <row r="3" spans="2:20" ht="18.75" customHeight="1" thickBot="1">
      <c r="B3" s="80" t="s">
        <v>28</v>
      </c>
      <c r="C3" s="81"/>
      <c r="F3" s="455"/>
      <c r="G3" s="455"/>
      <c r="H3" s="455"/>
      <c r="I3" s="74"/>
      <c r="J3" s="445"/>
      <c r="K3" s="445"/>
      <c r="L3" s="445"/>
    </row>
    <row r="4" spans="2:20" ht="18.75" customHeight="1" thickBot="1">
      <c r="B4" s="80" t="s">
        <v>29</v>
      </c>
      <c r="C4" s="81"/>
      <c r="F4" s="82"/>
      <c r="G4" s="82"/>
      <c r="H4" s="82"/>
      <c r="I4" s="74"/>
      <c r="J4" s="445"/>
      <c r="K4" s="445"/>
      <c r="L4" s="445"/>
    </row>
    <row r="5" spans="2:20" ht="16" customHeight="1">
      <c r="B5" s="83"/>
      <c r="C5" s="84"/>
      <c r="F5" s="455"/>
      <c r="G5" s="455"/>
      <c r="H5" s="455"/>
      <c r="I5" s="74"/>
    </row>
    <row r="6" spans="2:20" ht="5.25" customHeight="1" thickBot="1">
      <c r="B6" s="85"/>
      <c r="C6" s="85"/>
      <c r="D6" s="85"/>
      <c r="E6" s="85"/>
      <c r="F6" s="85"/>
      <c r="G6" s="85"/>
      <c r="H6" s="85"/>
      <c r="I6" s="74"/>
    </row>
    <row r="7" spans="2:20" ht="18.75" customHeight="1" thickBot="1">
      <c r="B7" s="439" t="s">
        <v>30</v>
      </c>
      <c r="C7" s="440"/>
      <c r="D7" s="86" t="s">
        <v>31</v>
      </c>
      <c r="E7" s="86" t="s">
        <v>32</v>
      </c>
      <c r="F7" s="86" t="s">
        <v>33</v>
      </c>
      <c r="G7" s="86" t="s">
        <v>34</v>
      </c>
      <c r="H7" s="87" t="s">
        <v>35</v>
      </c>
      <c r="I7" s="74"/>
      <c r="J7" s="456" t="s">
        <v>36</v>
      </c>
      <c r="K7" s="457"/>
      <c r="L7" s="458"/>
    </row>
    <row r="8" spans="2:20" ht="5.25" customHeight="1" thickBot="1">
      <c r="M8" s="73"/>
    </row>
    <row r="9" spans="2:20" ht="22.5" customHeight="1">
      <c r="B9" s="441">
        <f>基本情報!B3</f>
        <v>0</v>
      </c>
      <c r="C9" s="442"/>
      <c r="D9" s="88">
        <v>1</v>
      </c>
      <c r="E9" s="89" t="s">
        <v>42</v>
      </c>
      <c r="F9" s="90">
        <f>原価内訳書!H85+原価内訳書!H86</f>
        <v>0</v>
      </c>
      <c r="G9" s="91">
        <f>ROUND(D9*F9,0)</f>
        <v>0</v>
      </c>
      <c r="H9" s="92"/>
      <c r="I9" s="74"/>
      <c r="J9" s="446"/>
      <c r="K9" s="447"/>
      <c r="L9" s="448"/>
    </row>
    <row r="10" spans="2:20" ht="22.5" customHeight="1">
      <c r="B10" s="443" t="s">
        <v>41</v>
      </c>
      <c r="C10" s="444"/>
      <c r="D10" s="93"/>
      <c r="E10" s="94"/>
      <c r="F10" s="95"/>
      <c r="G10" s="96">
        <f>ROUND(D10*F10,0)</f>
        <v>0</v>
      </c>
      <c r="H10" s="97"/>
      <c r="I10" s="74"/>
      <c r="J10" s="449"/>
      <c r="K10" s="450"/>
      <c r="L10" s="451"/>
    </row>
    <row r="11" spans="2:20" ht="22.5" customHeight="1">
      <c r="B11" s="437"/>
      <c r="C11" s="438"/>
      <c r="D11" s="93"/>
      <c r="E11" s="94"/>
      <c r="F11" s="95"/>
      <c r="G11" s="96">
        <f t="shared" ref="G11:G19" si="0">ROUND(D11*F11,0)</f>
        <v>0</v>
      </c>
      <c r="H11" s="97"/>
      <c r="I11" s="74"/>
      <c r="J11" s="449"/>
      <c r="K11" s="450"/>
      <c r="L11" s="451"/>
      <c r="T11" s="98"/>
    </row>
    <row r="12" spans="2:20" ht="22.5" customHeight="1">
      <c r="B12" s="437"/>
      <c r="C12" s="438"/>
      <c r="D12" s="93"/>
      <c r="E12" s="94"/>
      <c r="F12" s="95"/>
      <c r="G12" s="96">
        <f t="shared" si="0"/>
        <v>0</v>
      </c>
      <c r="H12" s="97"/>
      <c r="I12" s="74"/>
      <c r="J12" s="449"/>
      <c r="K12" s="450"/>
      <c r="L12" s="451"/>
      <c r="T12" s="98"/>
    </row>
    <row r="13" spans="2:20" ht="22.5" customHeight="1">
      <c r="B13" s="437"/>
      <c r="C13" s="438"/>
      <c r="D13" s="93"/>
      <c r="E13" s="94"/>
      <c r="F13" s="95"/>
      <c r="G13" s="96">
        <f t="shared" si="0"/>
        <v>0</v>
      </c>
      <c r="H13" s="97"/>
      <c r="I13" s="74"/>
      <c r="J13" s="449"/>
      <c r="K13" s="450"/>
      <c r="L13" s="451"/>
      <c r="T13" s="98"/>
    </row>
    <row r="14" spans="2:20" ht="22.5" customHeight="1">
      <c r="B14" s="437"/>
      <c r="C14" s="438"/>
      <c r="D14" s="93"/>
      <c r="E14" s="94"/>
      <c r="F14" s="95"/>
      <c r="G14" s="96">
        <f t="shared" si="0"/>
        <v>0</v>
      </c>
      <c r="H14" s="97"/>
      <c r="I14" s="74"/>
      <c r="J14" s="452"/>
      <c r="K14" s="453"/>
      <c r="L14" s="454"/>
      <c r="T14" s="98"/>
    </row>
    <row r="15" spans="2:20" ht="22.5" customHeight="1" thickBot="1">
      <c r="B15" s="437"/>
      <c r="C15" s="438"/>
      <c r="D15" s="93"/>
      <c r="E15" s="94"/>
      <c r="F15" s="95"/>
      <c r="G15" s="96">
        <f t="shared" si="0"/>
        <v>0</v>
      </c>
      <c r="H15" s="97"/>
      <c r="I15" s="74"/>
      <c r="T15" s="98"/>
    </row>
    <row r="16" spans="2:20" ht="22.5" customHeight="1">
      <c r="B16" s="437"/>
      <c r="C16" s="438"/>
      <c r="D16" s="93"/>
      <c r="E16" s="94"/>
      <c r="F16" s="95"/>
      <c r="G16" s="96">
        <f t="shared" si="0"/>
        <v>0</v>
      </c>
      <c r="H16" s="97"/>
      <c r="I16" s="74"/>
      <c r="J16" s="99" t="s">
        <v>37</v>
      </c>
      <c r="K16" s="100">
        <f>SUM(G9:G19)</f>
        <v>0</v>
      </c>
      <c r="L16" s="101"/>
    </row>
    <row r="17" spans="1:12" ht="22.5" customHeight="1">
      <c r="B17" s="437"/>
      <c r="C17" s="438"/>
      <c r="D17" s="93"/>
      <c r="E17" s="94"/>
      <c r="F17" s="95"/>
      <c r="G17" s="96">
        <f t="shared" si="0"/>
        <v>0</v>
      </c>
      <c r="H17" s="97"/>
      <c r="I17" s="74"/>
      <c r="J17" s="102" t="s">
        <v>38</v>
      </c>
      <c r="K17" s="103">
        <v>0.1</v>
      </c>
      <c r="L17" s="101"/>
    </row>
    <row r="18" spans="1:12" ht="22.5" customHeight="1">
      <c r="B18" s="437"/>
      <c r="C18" s="438"/>
      <c r="D18" s="93"/>
      <c r="E18" s="94"/>
      <c r="F18" s="95"/>
      <c r="G18" s="96">
        <f t="shared" si="0"/>
        <v>0</v>
      </c>
      <c r="H18" s="97"/>
      <c r="I18" s="74"/>
      <c r="J18" s="102" t="s">
        <v>39</v>
      </c>
      <c r="K18" s="104">
        <f>ROUNDDOWN(K16*K17,0)</f>
        <v>0</v>
      </c>
      <c r="L18" s="101"/>
    </row>
    <row r="19" spans="1:12" ht="22.5" customHeight="1" thickBot="1">
      <c r="B19" s="435"/>
      <c r="C19" s="436"/>
      <c r="D19" s="105"/>
      <c r="E19" s="106"/>
      <c r="F19" s="107"/>
      <c r="G19" s="108">
        <f t="shared" si="0"/>
        <v>0</v>
      </c>
      <c r="H19" s="109"/>
      <c r="I19" s="74"/>
      <c r="J19" s="110" t="s">
        <v>40</v>
      </c>
      <c r="K19" s="111">
        <f>K16+K18</f>
        <v>0</v>
      </c>
      <c r="L19" s="101"/>
    </row>
    <row r="20" spans="1:12" s="113" customFormat="1" ht="20.25" customHeight="1">
      <c r="A20" s="112"/>
    </row>
    <row r="21" spans="1:12" s="113" customFormat="1" ht="20.25" customHeight="1">
      <c r="A21" s="112"/>
    </row>
    <row r="22" spans="1:12" s="113" customFormat="1" ht="20.25" customHeight="1">
      <c r="A22" s="112"/>
    </row>
  </sheetData>
  <mergeCells count="20">
    <mergeCell ref="K1:L1"/>
    <mergeCell ref="J2:L2"/>
    <mergeCell ref="J9:L14"/>
    <mergeCell ref="F3:H3"/>
    <mergeCell ref="J3:L3"/>
    <mergeCell ref="J4:L4"/>
    <mergeCell ref="F5:H5"/>
    <mergeCell ref="J7:L7"/>
    <mergeCell ref="B7:C7"/>
    <mergeCell ref="B9:C9"/>
    <mergeCell ref="B10:C10"/>
    <mergeCell ref="B11:C11"/>
    <mergeCell ref="B12:C12"/>
    <mergeCell ref="B19:C19"/>
    <mergeCell ref="B13:C13"/>
    <mergeCell ref="B14:C14"/>
    <mergeCell ref="B15:C15"/>
    <mergeCell ref="B16:C16"/>
    <mergeCell ref="B17:C17"/>
    <mergeCell ref="B18:C18"/>
  </mergeCells>
  <phoneticPr fontId="3"/>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P88"/>
  <sheetViews>
    <sheetView showZeros="0" topLeftCell="A4" zoomScale="70" zoomScaleNormal="70" workbookViewId="0">
      <selection activeCell="D22" sqref="D22"/>
    </sheetView>
  </sheetViews>
  <sheetFormatPr defaultRowHeight="13"/>
  <cols>
    <col min="1" max="1" width="16.08984375" bestFit="1" customWidth="1"/>
    <col min="2" max="2" width="10.81640625" bestFit="1" customWidth="1"/>
    <col min="3" max="3" width="10.81640625" customWidth="1"/>
    <col min="4" max="4" width="26.453125" customWidth="1"/>
    <col min="5" max="5" width="3.81640625" customWidth="1"/>
    <col min="6" max="6" width="3.08984375" customWidth="1"/>
    <col min="7" max="7" width="11.1796875" style="47" customWidth="1"/>
    <col min="8" max="8" width="11.1796875" style="46" customWidth="1"/>
    <col min="9" max="9" width="3.81640625" customWidth="1"/>
    <col min="10" max="10" width="3.08984375" customWidth="1"/>
    <col min="11" max="11" width="8.453125" customWidth="1"/>
    <col min="12" max="13" width="12.453125" customWidth="1"/>
    <col min="14" max="14" width="17.08984375" customWidth="1"/>
    <col min="15" max="15" width="9.1796875" bestFit="1" customWidth="1"/>
  </cols>
  <sheetData>
    <row r="1" spans="1:16" ht="28">
      <c r="A1" s="466" t="s">
        <v>97</v>
      </c>
      <c r="B1" s="466"/>
      <c r="C1" s="466"/>
      <c r="D1" s="466"/>
      <c r="E1" s="466"/>
      <c r="F1" s="466"/>
      <c r="G1" s="466"/>
      <c r="H1" s="466"/>
      <c r="I1" s="466"/>
      <c r="J1" s="466"/>
      <c r="K1" s="466"/>
      <c r="L1" s="466"/>
    </row>
    <row r="2" spans="1:16" ht="16.5" customHeight="1">
      <c r="A2" s="8"/>
      <c r="B2" s="8"/>
      <c r="C2" s="8"/>
      <c r="D2" s="10"/>
      <c r="E2" s="10"/>
      <c r="H2" s="48"/>
      <c r="I2" s="10"/>
      <c r="J2" s="477"/>
      <c r="K2" s="478"/>
      <c r="L2" s="478"/>
      <c r="M2" s="478"/>
      <c r="N2" s="478"/>
    </row>
    <row r="3" spans="1:16" ht="21.75" customHeight="1">
      <c r="A3" s="467" t="str">
        <f>IF(基本情報!B3="","",基本情報!B3)</f>
        <v/>
      </c>
      <c r="B3" s="467"/>
      <c r="C3" s="354"/>
      <c r="D3" s="10" t="s">
        <v>5</v>
      </c>
      <c r="E3" s="10"/>
      <c r="F3" s="6"/>
      <c r="H3" s="49"/>
      <c r="I3" s="10"/>
      <c r="J3" s="478"/>
      <c r="K3" s="478"/>
      <c r="L3" s="478"/>
      <c r="M3" s="478"/>
      <c r="N3" s="478"/>
    </row>
    <row r="4" spans="1:16" ht="21.75" customHeight="1">
      <c r="A4" s="464" t="s">
        <v>15</v>
      </c>
      <c r="B4" s="464"/>
      <c r="C4" s="349"/>
      <c r="D4" s="136" t="str">
        <f>IF(基本情報!B7="","",基本情報!B7)</f>
        <v/>
      </c>
      <c r="E4" s="21"/>
      <c r="F4" s="6"/>
      <c r="H4" s="49"/>
      <c r="I4" s="21"/>
      <c r="J4" s="478"/>
      <c r="K4" s="478"/>
      <c r="L4" s="478"/>
      <c r="M4" s="478"/>
      <c r="N4" s="478"/>
    </row>
    <row r="5" spans="1:16" ht="21.75" customHeight="1">
      <c r="A5" s="12" t="s">
        <v>11</v>
      </c>
      <c r="B5" s="465" t="str">
        <f>IF(基本情報!B5="","",基本情報!B5)</f>
        <v/>
      </c>
      <c r="C5" s="465"/>
      <c r="D5" s="465"/>
      <c r="E5" s="21"/>
      <c r="F5" s="8"/>
      <c r="H5" s="50"/>
      <c r="I5" s="21"/>
      <c r="J5" s="478"/>
      <c r="K5" s="478"/>
      <c r="L5" s="478"/>
      <c r="M5" s="478"/>
      <c r="N5" s="478"/>
    </row>
    <row r="6" spans="1:16" ht="13.5" thickBot="1">
      <c r="N6" s="4"/>
    </row>
    <row r="7" spans="1:16" ht="30.75" customHeight="1">
      <c r="A7" s="468" t="s">
        <v>6</v>
      </c>
      <c r="B7" s="459" t="s">
        <v>7</v>
      </c>
      <c r="C7" s="459" t="s">
        <v>441</v>
      </c>
      <c r="D7" s="489" t="s">
        <v>4</v>
      </c>
      <c r="E7" s="483" t="s">
        <v>0</v>
      </c>
      <c r="F7" s="484"/>
      <c r="G7" s="491" t="s">
        <v>1</v>
      </c>
      <c r="H7" s="487" t="s">
        <v>2</v>
      </c>
      <c r="I7" s="461" t="s">
        <v>3</v>
      </c>
      <c r="J7" s="462"/>
      <c r="K7" s="462"/>
      <c r="L7" s="463"/>
      <c r="M7" s="481" t="s">
        <v>8</v>
      </c>
      <c r="N7" s="479" t="s">
        <v>9</v>
      </c>
      <c r="O7" s="22"/>
      <c r="P7" s="132"/>
    </row>
    <row r="8" spans="1:16" ht="13.5" thickBot="1">
      <c r="A8" s="469"/>
      <c r="B8" s="470"/>
      <c r="C8" s="460"/>
      <c r="D8" s="490"/>
      <c r="E8" s="485"/>
      <c r="F8" s="486"/>
      <c r="G8" s="492"/>
      <c r="H8" s="488"/>
      <c r="I8" s="493" t="s">
        <v>0</v>
      </c>
      <c r="J8" s="494"/>
      <c r="K8" s="20" t="s">
        <v>1</v>
      </c>
      <c r="L8" s="3" t="s">
        <v>2</v>
      </c>
      <c r="M8" s="482"/>
      <c r="N8" s="480"/>
      <c r="O8" s="4"/>
    </row>
    <row r="9" spans="1:16" ht="20.25" customHeight="1">
      <c r="A9" s="40"/>
      <c r="B9" s="43"/>
      <c r="C9" s="357"/>
      <c r="D9" s="372" t="str">
        <f>IFERROR(VLOOKUP(C9, 商品リスト!A:B, 2, FALSE),"")</f>
        <v/>
      </c>
      <c r="E9" s="32"/>
      <c r="F9" s="34"/>
      <c r="G9" s="348" t="str">
        <f>IF(C9&lt;&gt;"", IFERROR(VLOOKUP(C9, 商品リスト!A:C, 3, FALSE), ""), "")</f>
        <v/>
      </c>
      <c r="H9" s="137" t="str">
        <f t="shared" ref="H9:H40" si="0">IF(E9="","",E9*G9)</f>
        <v/>
      </c>
      <c r="I9" s="138" t="str">
        <f>IF(E9="","",E9)</f>
        <v/>
      </c>
      <c r="J9" s="139" t="str">
        <f>IF(F9="","",F9)</f>
        <v/>
      </c>
      <c r="K9" s="140" t="str">
        <f>IF(G9="","",G9)</f>
        <v/>
      </c>
      <c r="L9" s="141" t="str">
        <f>IF(H9="","",H9)</f>
        <v/>
      </c>
      <c r="M9" s="25"/>
      <c r="N9" s="369" t="str">
        <f>IFERROR(VLOOKUP(C9, 商品リスト!A:D, 4, FALSE),"")</f>
        <v/>
      </c>
      <c r="O9" s="19"/>
      <c r="P9" s="19" t="s">
        <v>69</v>
      </c>
    </row>
    <row r="10" spans="1:16" ht="20.25" customHeight="1">
      <c r="A10" s="40"/>
      <c r="B10" s="43"/>
      <c r="C10" s="42"/>
      <c r="D10" s="372" t="str">
        <f>IFERROR(VLOOKUP(C10, 商品リスト!A:B, 2, FALSE),"")</f>
        <v/>
      </c>
      <c r="E10" s="32"/>
      <c r="F10" s="34"/>
      <c r="G10" s="348" t="str">
        <f>IF(C10&lt;&gt;"", IFERROR(VLOOKUP(C10, 商品リスト!A:C, 3, FALSE), ""), "")</f>
        <v/>
      </c>
      <c r="H10" s="406" t="str">
        <f t="shared" si="0"/>
        <v/>
      </c>
      <c r="I10" s="143" t="str">
        <f t="shared" ref="I10:I41" si="1">IF(E10="","",E10)</f>
        <v/>
      </c>
      <c r="J10" s="144" t="str">
        <f t="shared" ref="J10:J41" si="2">IF(F10="","",F10)</f>
        <v/>
      </c>
      <c r="K10" s="145" t="str">
        <f t="shared" ref="K10:K73" si="3">IF(G10="","",G10)</f>
        <v/>
      </c>
      <c r="L10" s="146" t="str">
        <f t="shared" ref="L10:L73" si="4">IF(H10="","",H10)</f>
        <v/>
      </c>
      <c r="M10" s="14"/>
      <c r="N10" s="370" t="str">
        <f>IFERROR(VLOOKUP(C10, 商品リスト!A:D, 4, FALSE),"")</f>
        <v/>
      </c>
      <c r="O10" s="19"/>
      <c r="P10" s="19" t="s">
        <v>70</v>
      </c>
    </row>
    <row r="11" spans="1:16" ht="20.25" customHeight="1">
      <c r="A11" s="40"/>
      <c r="B11" s="43"/>
      <c r="C11" s="373"/>
      <c r="D11" s="372" t="str">
        <f>IFERROR(VLOOKUP(C11, 商品リスト!A:B, 2, FALSE),"")</f>
        <v/>
      </c>
      <c r="E11" s="32"/>
      <c r="F11" s="34"/>
      <c r="G11" s="348" t="str">
        <f>IF(C11&lt;&gt;"", IFERROR(VLOOKUP(C11, 商品リスト!A:C, 3, FALSE), ""), "")</f>
        <v/>
      </c>
      <c r="H11" s="406" t="str">
        <f t="shared" si="0"/>
        <v/>
      </c>
      <c r="I11" s="147" t="str">
        <f t="shared" si="1"/>
        <v/>
      </c>
      <c r="J11" s="148" t="str">
        <f t="shared" si="2"/>
        <v/>
      </c>
      <c r="K11" s="149" t="str">
        <f t="shared" si="3"/>
        <v/>
      </c>
      <c r="L11" s="146" t="str">
        <f t="shared" si="4"/>
        <v/>
      </c>
      <c r="M11" s="1"/>
      <c r="N11" s="370" t="str">
        <f>IFERROR(VLOOKUP(C11, 商品リスト!A:D, 4, FALSE),"")</f>
        <v/>
      </c>
      <c r="O11" s="19"/>
      <c r="P11" s="19" t="s">
        <v>71</v>
      </c>
    </row>
    <row r="12" spans="1:16" ht="20.25" customHeight="1">
      <c r="A12" s="40"/>
      <c r="B12" s="43"/>
      <c r="C12" s="359"/>
      <c r="D12" s="372" t="str">
        <f>IFERROR(VLOOKUP(C12, 商品リスト!A:B, 2, FALSE),"")</f>
        <v/>
      </c>
      <c r="E12" s="32"/>
      <c r="F12" s="34"/>
      <c r="G12" s="348" t="str">
        <f>IF(C12&lt;&gt;"", IFERROR(VLOOKUP(C12, 商品リスト!A:C, 3, FALSE), ""), "")</f>
        <v/>
      </c>
      <c r="H12" s="406" t="str">
        <f t="shared" si="0"/>
        <v/>
      </c>
      <c r="I12" s="147" t="str">
        <f t="shared" si="1"/>
        <v/>
      </c>
      <c r="J12" s="144" t="str">
        <f t="shared" si="2"/>
        <v/>
      </c>
      <c r="K12" s="149" t="str">
        <f t="shared" si="3"/>
        <v/>
      </c>
      <c r="L12" s="146" t="str">
        <f t="shared" si="4"/>
        <v/>
      </c>
      <c r="M12" s="13"/>
      <c r="N12" s="370" t="str">
        <f>IFERROR(VLOOKUP(C12, 商品リスト!A:D, 4, FALSE),"")</f>
        <v/>
      </c>
      <c r="O12" s="19"/>
      <c r="P12" s="131" t="s">
        <v>72</v>
      </c>
    </row>
    <row r="13" spans="1:16" ht="20.25" customHeight="1">
      <c r="A13" s="40"/>
      <c r="B13" s="43"/>
      <c r="C13" s="374"/>
      <c r="D13" s="372" t="str">
        <f>IFERROR(VLOOKUP(C13, 商品リスト!A:B, 2, FALSE),"")</f>
        <v/>
      </c>
      <c r="E13" s="32"/>
      <c r="F13" s="34"/>
      <c r="G13" s="348" t="str">
        <f>IF(C13&lt;&gt;"", IFERROR(VLOOKUP(C13, 商品リスト!A:C, 3, FALSE), ""), "")</f>
        <v/>
      </c>
      <c r="H13" s="406" t="str">
        <f t="shared" si="0"/>
        <v/>
      </c>
      <c r="I13" s="147" t="str">
        <f t="shared" si="1"/>
        <v/>
      </c>
      <c r="J13" s="148" t="str">
        <f t="shared" si="2"/>
        <v/>
      </c>
      <c r="K13" s="149" t="str">
        <f t="shared" si="3"/>
        <v/>
      </c>
      <c r="L13" s="146" t="str">
        <f t="shared" si="4"/>
        <v/>
      </c>
      <c r="M13" s="1"/>
      <c r="N13" s="370" t="str">
        <f>IFERROR(VLOOKUP(C13, 商品リスト!A:D, 4, FALSE),"")</f>
        <v/>
      </c>
      <c r="O13" s="19"/>
    </row>
    <row r="14" spans="1:16" ht="20.25" customHeight="1">
      <c r="A14" s="40"/>
      <c r="B14" s="43"/>
      <c r="C14" s="43"/>
      <c r="D14" s="372" t="str">
        <f>IFERROR(VLOOKUP(C14, 商品リスト!A:B, 2, FALSE),"")</f>
        <v/>
      </c>
      <c r="E14" s="32"/>
      <c r="F14" s="34"/>
      <c r="G14" s="348" t="str">
        <f>IF(C14&lt;&gt;"", IFERROR(VLOOKUP(C14, 商品リスト!A:C, 3, FALSE), ""), "")</f>
        <v/>
      </c>
      <c r="H14" s="406" t="str">
        <f t="shared" si="0"/>
        <v/>
      </c>
      <c r="I14" s="147" t="str">
        <f t="shared" si="1"/>
        <v/>
      </c>
      <c r="J14" s="144" t="str">
        <f t="shared" si="2"/>
        <v/>
      </c>
      <c r="K14" s="149" t="str">
        <f t="shared" si="3"/>
        <v/>
      </c>
      <c r="L14" s="146" t="str">
        <f t="shared" si="4"/>
        <v/>
      </c>
      <c r="M14" s="13"/>
      <c r="N14" s="370" t="str">
        <f>IFERROR(VLOOKUP(C14, 商品リスト!A:D, 4, FALSE),"")</f>
        <v/>
      </c>
      <c r="O14" s="19"/>
      <c r="P14" s="19"/>
    </row>
    <row r="15" spans="1:16" ht="20.25" customHeight="1">
      <c r="A15" s="40"/>
      <c r="B15" s="43"/>
      <c r="C15" s="357"/>
      <c r="D15" s="372" t="str">
        <f>IFERROR(VLOOKUP(C15, 商品リスト!A:B, 2, FALSE),"")</f>
        <v/>
      </c>
      <c r="E15" s="32"/>
      <c r="F15" s="34"/>
      <c r="G15" s="348" t="str">
        <f>IF(C15&lt;&gt;"", IFERROR(VLOOKUP(C15, 商品リスト!A:C, 3, FALSE), ""), "")</f>
        <v/>
      </c>
      <c r="H15" s="406" t="str">
        <f t="shared" si="0"/>
        <v/>
      </c>
      <c r="I15" s="147" t="str">
        <f t="shared" si="1"/>
        <v/>
      </c>
      <c r="J15" s="144" t="str">
        <f t="shared" si="2"/>
        <v/>
      </c>
      <c r="K15" s="150" t="str">
        <f t="shared" si="3"/>
        <v/>
      </c>
      <c r="L15" s="146" t="str">
        <f t="shared" si="4"/>
        <v/>
      </c>
      <c r="M15" s="14"/>
      <c r="N15" s="370" t="str">
        <f>IFERROR(VLOOKUP(C15, 商品リスト!A:D, 4, FALSE),"")</f>
        <v/>
      </c>
      <c r="O15" s="19"/>
      <c r="P15" s="19"/>
    </row>
    <row r="16" spans="1:16" ht="20.25" customHeight="1">
      <c r="A16" s="40"/>
      <c r="B16" s="43"/>
      <c r="C16" s="373"/>
      <c r="D16" s="372" t="str">
        <f>IFERROR(VLOOKUP(C16, 商品リスト!A:B, 2, FALSE),"")</f>
        <v/>
      </c>
      <c r="E16" s="32"/>
      <c r="F16" s="34"/>
      <c r="G16" s="348" t="str">
        <f>IF(C16&lt;&gt;"", IFERROR(VLOOKUP(C16, 商品リスト!A:C, 3, FALSE), ""), "")</f>
        <v/>
      </c>
      <c r="H16" s="406" t="str">
        <f t="shared" si="0"/>
        <v/>
      </c>
      <c r="I16" s="147" t="str">
        <f t="shared" si="1"/>
        <v/>
      </c>
      <c r="J16" s="144" t="str">
        <f t="shared" si="2"/>
        <v/>
      </c>
      <c r="K16" s="149" t="str">
        <f t="shared" si="3"/>
        <v/>
      </c>
      <c r="L16" s="146" t="str">
        <f t="shared" si="4"/>
        <v/>
      </c>
      <c r="M16" s="18"/>
      <c r="N16" s="370" t="str">
        <f>IFERROR(VLOOKUP(C16, 商品リスト!A:D, 4, FALSE),"")</f>
        <v/>
      </c>
      <c r="O16" s="19"/>
      <c r="P16" s="19"/>
    </row>
    <row r="17" spans="1:16" ht="20.25" customHeight="1">
      <c r="A17" s="40"/>
      <c r="B17" s="43"/>
      <c r="C17" s="42"/>
      <c r="D17" s="372" t="str">
        <f>IFERROR(VLOOKUP(C17, 商品リスト!A:B, 2, FALSE),"")</f>
        <v/>
      </c>
      <c r="E17" s="32"/>
      <c r="F17" s="34"/>
      <c r="G17" s="348" t="str">
        <f>IF(C17&lt;&gt;"", IFERROR(VLOOKUP(C17, 商品リスト!A:C, 3, FALSE), ""), "")</f>
        <v/>
      </c>
      <c r="H17" s="406" t="str">
        <f t="shared" si="0"/>
        <v/>
      </c>
      <c r="I17" s="147" t="str">
        <f t="shared" si="1"/>
        <v/>
      </c>
      <c r="J17" s="144" t="str">
        <f t="shared" si="2"/>
        <v/>
      </c>
      <c r="K17" s="149" t="str">
        <f t="shared" si="3"/>
        <v/>
      </c>
      <c r="L17" s="146" t="str">
        <f t="shared" si="4"/>
        <v/>
      </c>
      <c r="M17" s="13"/>
      <c r="N17" s="370" t="str">
        <f>IFERROR(VLOOKUP(C17, 商品リスト!A:D, 4, FALSE),"")</f>
        <v/>
      </c>
      <c r="O17" s="19"/>
    </row>
    <row r="18" spans="1:16" ht="20.25" customHeight="1">
      <c r="A18" s="40"/>
      <c r="B18" s="43"/>
      <c r="C18" s="42"/>
      <c r="D18" s="372" t="str">
        <f>IFERROR(VLOOKUP(C18, 商品リスト!A:B, 2, FALSE),"")</f>
        <v/>
      </c>
      <c r="E18" s="31"/>
      <c r="F18" s="34"/>
      <c r="G18" s="348" t="str">
        <f>IF(C18&lt;&gt;"", IFERROR(VLOOKUP(C18, 商品リスト!A:C, 3, FALSE), ""), "")</f>
        <v/>
      </c>
      <c r="H18" s="406" t="str">
        <f t="shared" si="0"/>
        <v/>
      </c>
      <c r="I18" s="147" t="str">
        <f t="shared" si="1"/>
        <v/>
      </c>
      <c r="J18" s="144" t="str">
        <f t="shared" si="2"/>
        <v/>
      </c>
      <c r="K18" s="149" t="str">
        <f t="shared" si="3"/>
        <v/>
      </c>
      <c r="L18" s="146" t="str">
        <f t="shared" si="4"/>
        <v/>
      </c>
      <c r="M18" s="13"/>
      <c r="N18" s="370" t="str">
        <f>IFERROR(VLOOKUP(C18, 商品リスト!A:D, 4, FALSE),"")</f>
        <v/>
      </c>
      <c r="O18" s="19"/>
    </row>
    <row r="19" spans="1:16" ht="20.25" customHeight="1">
      <c r="A19" s="40"/>
      <c r="B19" s="43"/>
      <c r="C19" s="42"/>
      <c r="D19" s="372" t="str">
        <f>IFERROR(VLOOKUP(C19, 商品リスト!A:B, 2, FALSE),"")</f>
        <v/>
      </c>
      <c r="E19" s="32"/>
      <c r="F19" s="34"/>
      <c r="G19" s="348" t="str">
        <f>IF(C19&lt;&gt;"", IFERROR(VLOOKUP(C19, 商品リスト!A:C, 3, FALSE), ""), "")</f>
        <v/>
      </c>
      <c r="H19" s="142" t="str">
        <f t="shared" si="0"/>
        <v/>
      </c>
      <c r="I19" s="147" t="str">
        <f t="shared" si="1"/>
        <v/>
      </c>
      <c r="J19" s="144" t="str">
        <f t="shared" si="2"/>
        <v/>
      </c>
      <c r="K19" s="149" t="str">
        <f t="shared" si="3"/>
        <v/>
      </c>
      <c r="L19" s="146" t="str">
        <f t="shared" si="4"/>
        <v/>
      </c>
      <c r="M19" s="13"/>
      <c r="N19" s="370" t="str">
        <f>IFERROR(VLOOKUP(C19, 商品リスト!A:D, 4, FALSE),"")</f>
        <v/>
      </c>
      <c r="O19" s="19"/>
      <c r="P19" s="19"/>
    </row>
    <row r="20" spans="1:16" ht="20.25" customHeight="1">
      <c r="A20" s="40"/>
      <c r="B20" s="43"/>
      <c r="C20" s="42"/>
      <c r="D20" s="372" t="str">
        <f>IFERROR(VLOOKUP(C20, 商品リスト!A:B, 2, FALSE),"")</f>
        <v/>
      </c>
      <c r="E20" s="32"/>
      <c r="F20" s="34"/>
      <c r="G20" s="348" t="str">
        <f>IF(C20&lt;&gt;"", IFERROR(VLOOKUP(C20, 商品リスト!A:C, 3, FALSE), ""), "")</f>
        <v/>
      </c>
      <c r="H20" s="142" t="str">
        <f t="shared" si="0"/>
        <v/>
      </c>
      <c r="I20" s="147" t="str">
        <f t="shared" si="1"/>
        <v/>
      </c>
      <c r="J20" s="144" t="str">
        <f t="shared" si="2"/>
        <v/>
      </c>
      <c r="K20" s="149" t="str">
        <f t="shared" si="3"/>
        <v/>
      </c>
      <c r="L20" s="146" t="str">
        <f t="shared" si="4"/>
        <v/>
      </c>
      <c r="M20" s="13"/>
      <c r="N20" s="370" t="str">
        <f>IFERROR(VLOOKUP(C20, 商品リスト!A:D, 4, FALSE),"")</f>
        <v/>
      </c>
      <c r="O20" s="19"/>
      <c r="P20" s="19"/>
    </row>
    <row r="21" spans="1:16" ht="20.25" customHeight="1">
      <c r="A21" s="40"/>
      <c r="B21" s="43"/>
      <c r="C21" s="42"/>
      <c r="D21" s="372" t="str">
        <f>IFERROR(VLOOKUP(C21, 商品リスト!A:B, 2, FALSE),"")</f>
        <v/>
      </c>
      <c r="E21" s="32"/>
      <c r="F21" s="34"/>
      <c r="G21" s="348" t="str">
        <f>IF(C21&lt;&gt;"", IFERROR(VLOOKUP(C21, 商品リスト!A:C, 3, FALSE), ""), "")</f>
        <v/>
      </c>
      <c r="H21" s="142" t="str">
        <f t="shared" si="0"/>
        <v/>
      </c>
      <c r="I21" s="147" t="str">
        <f t="shared" si="1"/>
        <v/>
      </c>
      <c r="J21" s="144" t="str">
        <f t="shared" si="2"/>
        <v/>
      </c>
      <c r="K21" s="149" t="str">
        <f t="shared" si="3"/>
        <v/>
      </c>
      <c r="L21" s="146" t="str">
        <f t="shared" si="4"/>
        <v/>
      </c>
      <c r="M21" s="13"/>
      <c r="N21" s="370" t="str">
        <f>IFERROR(VLOOKUP(C21, 商品リスト!A:D, 4, FALSE),"")</f>
        <v/>
      </c>
      <c r="O21" s="19"/>
      <c r="P21" s="19"/>
    </row>
    <row r="22" spans="1:16" ht="20.25" customHeight="1">
      <c r="A22" s="40"/>
      <c r="B22" s="43"/>
      <c r="C22" s="42"/>
      <c r="D22" s="372" t="str">
        <f>IFERROR(VLOOKUP(C22, 商品リスト!A:B, 2, FALSE),"")</f>
        <v/>
      </c>
      <c r="E22" s="31"/>
      <c r="F22" s="34"/>
      <c r="G22" s="348" t="str">
        <f>IF(C22&lt;&gt;"", IFERROR(VLOOKUP(C22, 商品リスト!A:C, 3, FALSE), ""), "")</f>
        <v/>
      </c>
      <c r="H22" s="142" t="str">
        <f t="shared" si="0"/>
        <v/>
      </c>
      <c r="I22" s="147" t="str">
        <f t="shared" si="1"/>
        <v/>
      </c>
      <c r="J22" s="144" t="str">
        <f t="shared" si="2"/>
        <v/>
      </c>
      <c r="K22" s="149" t="str">
        <f t="shared" si="3"/>
        <v/>
      </c>
      <c r="L22" s="146" t="str">
        <f t="shared" si="4"/>
        <v/>
      </c>
      <c r="M22" s="13"/>
      <c r="N22" s="370" t="str">
        <f>IFERROR(VLOOKUP(C22, 商品リスト!A:D, 4, FALSE),"")</f>
        <v/>
      </c>
      <c r="O22" s="19"/>
      <c r="P22" s="19"/>
    </row>
    <row r="23" spans="1:16" ht="20.25" customHeight="1">
      <c r="A23" s="40"/>
      <c r="B23" s="43"/>
      <c r="C23" s="357"/>
      <c r="D23" s="372" t="str">
        <f>IFERROR(VLOOKUP(C23, 商品リスト!A:B, 2, FALSE),"")</f>
        <v/>
      </c>
      <c r="E23" s="32"/>
      <c r="F23" s="371"/>
      <c r="G23" s="348" t="str">
        <f>IF(C23&lt;&gt;"", IFERROR(VLOOKUP(C23, 商品リスト!A:C, 3, FALSE), ""), "")</f>
        <v/>
      </c>
      <c r="H23" s="142" t="str">
        <f t="shared" si="0"/>
        <v/>
      </c>
      <c r="I23" s="147" t="str">
        <f t="shared" si="1"/>
        <v/>
      </c>
      <c r="J23" s="144" t="str">
        <f t="shared" si="2"/>
        <v/>
      </c>
      <c r="K23" s="149" t="str">
        <f t="shared" si="3"/>
        <v/>
      </c>
      <c r="L23" s="146" t="str">
        <f t="shared" si="4"/>
        <v/>
      </c>
      <c r="M23" s="13"/>
      <c r="N23" s="370" t="str">
        <f>IFERROR(VLOOKUP(C23, 商品リスト!A:D, 4, FALSE),"")</f>
        <v/>
      </c>
      <c r="O23" s="19"/>
      <c r="P23" s="19"/>
    </row>
    <row r="24" spans="1:16" ht="20.25" customHeight="1">
      <c r="A24" s="40"/>
      <c r="B24" s="43"/>
      <c r="C24" s="357"/>
      <c r="D24" s="372" t="str">
        <f>IFERROR(VLOOKUP(C24, 商品リスト!A:B, 2, FALSE),"")</f>
        <v/>
      </c>
      <c r="E24" s="32"/>
      <c r="F24" s="34"/>
      <c r="G24" s="348" t="str">
        <f>IF(C24&lt;&gt;"", IFERROR(VLOOKUP(C24, 商品リスト!A:C, 3, FALSE), ""), "")</f>
        <v/>
      </c>
      <c r="H24" s="142" t="str">
        <f t="shared" si="0"/>
        <v/>
      </c>
      <c r="I24" s="147" t="str">
        <f t="shared" si="1"/>
        <v/>
      </c>
      <c r="J24" s="144" t="str">
        <f t="shared" si="2"/>
        <v/>
      </c>
      <c r="K24" s="149" t="str">
        <f t="shared" si="3"/>
        <v/>
      </c>
      <c r="L24" s="146" t="str">
        <f t="shared" si="4"/>
        <v/>
      </c>
      <c r="M24" s="13"/>
      <c r="N24" s="370" t="str">
        <f>IFERROR(VLOOKUP(C24, 商品リスト!A:D, 4, FALSE),"")</f>
        <v/>
      </c>
      <c r="O24" s="19"/>
      <c r="P24" s="19"/>
    </row>
    <row r="25" spans="1:16" ht="20.25" customHeight="1">
      <c r="A25" s="40"/>
      <c r="B25" s="43"/>
      <c r="C25" s="42"/>
      <c r="D25" s="372" t="str">
        <f>IFERROR(VLOOKUP(C25, 商品リスト!A:B, 2, FALSE),"")</f>
        <v/>
      </c>
      <c r="E25" s="32"/>
      <c r="F25" s="35"/>
      <c r="G25" s="348" t="str">
        <f>IF(C25&lt;&gt;"", IFERROR(VLOOKUP(C25, 商品リスト!A:C, 3, FALSE), ""), "")</f>
        <v/>
      </c>
      <c r="H25" s="142" t="str">
        <f t="shared" si="0"/>
        <v/>
      </c>
      <c r="I25" s="147" t="str">
        <f t="shared" si="1"/>
        <v/>
      </c>
      <c r="J25" s="144" t="str">
        <f t="shared" si="2"/>
        <v/>
      </c>
      <c r="K25" s="149" t="str">
        <f t="shared" si="3"/>
        <v/>
      </c>
      <c r="L25" s="146" t="str">
        <f t="shared" si="4"/>
        <v/>
      </c>
      <c r="M25" s="13"/>
      <c r="N25" s="370" t="str">
        <f>IFERROR(VLOOKUP(C25, 商品リスト!A:D, 4, FALSE),"")</f>
        <v/>
      </c>
      <c r="O25" s="19"/>
      <c r="P25" s="19"/>
    </row>
    <row r="26" spans="1:16" ht="20.25" customHeight="1">
      <c r="A26" s="40"/>
      <c r="B26" s="43"/>
      <c r="C26" s="42"/>
      <c r="D26" s="372" t="str">
        <f>IFERROR(VLOOKUP(C26, 商品リスト!A:B, 2, FALSE),"")</f>
        <v/>
      </c>
      <c r="E26" s="32"/>
      <c r="F26" s="34"/>
      <c r="G26" s="348" t="str">
        <f>IF(C26&lt;&gt;"", IFERROR(VLOOKUP(C26, 商品リスト!A:C, 3, FALSE), ""), "")</f>
        <v/>
      </c>
      <c r="H26" s="142" t="str">
        <f t="shared" si="0"/>
        <v/>
      </c>
      <c r="I26" s="147" t="str">
        <f t="shared" si="1"/>
        <v/>
      </c>
      <c r="J26" s="144" t="str">
        <f t="shared" si="2"/>
        <v/>
      </c>
      <c r="K26" s="149" t="str">
        <f t="shared" si="3"/>
        <v/>
      </c>
      <c r="L26" s="146" t="str">
        <f t="shared" si="4"/>
        <v/>
      </c>
      <c r="M26" s="13"/>
      <c r="N26" s="370" t="str">
        <f>IFERROR(VLOOKUP(C26, 商品リスト!A:D, 4, FALSE),"")</f>
        <v/>
      </c>
      <c r="O26" s="19"/>
      <c r="P26" s="19"/>
    </row>
    <row r="27" spans="1:16" ht="20.25" customHeight="1">
      <c r="A27" s="40"/>
      <c r="B27" s="43"/>
      <c r="C27" s="42"/>
      <c r="D27" s="372" t="str">
        <f>IFERROR(VLOOKUP(C27, 商品リスト!A:B, 2, FALSE),"")</f>
        <v/>
      </c>
      <c r="E27" s="32"/>
      <c r="F27" s="35"/>
      <c r="G27" s="348" t="str">
        <f>IF(C27&lt;&gt;"", IFERROR(VLOOKUP(C27, 商品リスト!A:C, 3, FALSE), ""), "")</f>
        <v/>
      </c>
      <c r="H27" s="142" t="str">
        <f t="shared" si="0"/>
        <v/>
      </c>
      <c r="I27" s="147" t="str">
        <f t="shared" si="1"/>
        <v/>
      </c>
      <c r="J27" s="144" t="str">
        <f t="shared" si="2"/>
        <v/>
      </c>
      <c r="K27" s="149" t="str">
        <f t="shared" si="3"/>
        <v/>
      </c>
      <c r="L27" s="146" t="str">
        <f t="shared" si="4"/>
        <v/>
      </c>
      <c r="M27" s="13"/>
      <c r="N27" s="370" t="str">
        <f>IFERROR(VLOOKUP(C27, 商品リスト!A:D, 4, FALSE),"")</f>
        <v/>
      </c>
      <c r="O27" s="19"/>
      <c r="P27" s="19"/>
    </row>
    <row r="28" spans="1:16" ht="20.25" customHeight="1">
      <c r="A28" s="40"/>
      <c r="B28" s="43"/>
      <c r="C28" s="42"/>
      <c r="D28" s="372" t="str">
        <f>IFERROR(VLOOKUP(C28, 商品リスト!A:B, 2, FALSE),"")</f>
        <v/>
      </c>
      <c r="E28" s="32"/>
      <c r="F28" s="34"/>
      <c r="G28" s="348" t="str">
        <f>IF(C28&lt;&gt;"", IFERROR(VLOOKUP(C28, 商品リスト!A:C, 3, FALSE), ""), "")</f>
        <v/>
      </c>
      <c r="H28" s="142" t="str">
        <f t="shared" si="0"/>
        <v/>
      </c>
      <c r="I28" s="147" t="str">
        <f t="shared" si="1"/>
        <v/>
      </c>
      <c r="J28" s="144" t="str">
        <f t="shared" si="2"/>
        <v/>
      </c>
      <c r="K28" s="149" t="str">
        <f t="shared" si="3"/>
        <v/>
      </c>
      <c r="L28" s="146" t="str">
        <f t="shared" si="4"/>
        <v/>
      </c>
      <c r="M28" s="13"/>
      <c r="N28" s="370" t="str">
        <f>IFERROR(VLOOKUP(C28, 商品リスト!A:D, 4, FALSE),"")</f>
        <v/>
      </c>
      <c r="O28" s="19"/>
      <c r="P28" s="19"/>
    </row>
    <row r="29" spans="1:16" ht="20.25" customHeight="1">
      <c r="A29" s="40"/>
      <c r="B29" s="43"/>
      <c r="C29" s="42"/>
      <c r="D29" s="372" t="str">
        <f>IFERROR(VLOOKUP(C29, 商品リスト!A:B, 2, FALSE),"")</f>
        <v/>
      </c>
      <c r="E29" s="32"/>
      <c r="F29" s="35"/>
      <c r="G29" s="348" t="str">
        <f>IF(C29&lt;&gt;"", IFERROR(VLOOKUP(C29, 商品リスト!A:C, 3, FALSE), ""), "")</f>
        <v/>
      </c>
      <c r="H29" s="142" t="str">
        <f t="shared" si="0"/>
        <v/>
      </c>
      <c r="I29" s="147" t="str">
        <f t="shared" si="1"/>
        <v/>
      </c>
      <c r="J29" s="144" t="str">
        <f t="shared" si="2"/>
        <v/>
      </c>
      <c r="K29" s="149" t="str">
        <f t="shared" si="3"/>
        <v/>
      </c>
      <c r="L29" s="146" t="str">
        <f t="shared" si="4"/>
        <v/>
      </c>
      <c r="M29" s="13"/>
      <c r="N29" s="370" t="str">
        <f>IFERROR(VLOOKUP(C29, 商品リスト!A:D, 4, FALSE),"")</f>
        <v/>
      </c>
      <c r="O29" s="19"/>
      <c r="P29" s="19"/>
    </row>
    <row r="30" spans="1:16" ht="20.25" customHeight="1">
      <c r="A30" s="40"/>
      <c r="B30" s="43"/>
      <c r="C30" s="42"/>
      <c r="D30" s="372" t="str">
        <f>IFERROR(VLOOKUP(C30, 商品リスト!A:B, 2, FALSE),"")</f>
        <v/>
      </c>
      <c r="E30" s="32"/>
      <c r="F30" s="34"/>
      <c r="G30" s="348" t="str">
        <f>IF(C30&lt;&gt;"", IFERROR(VLOOKUP(C30, 商品リスト!A:C, 3, FALSE), ""), "")</f>
        <v/>
      </c>
      <c r="H30" s="142" t="str">
        <f t="shared" si="0"/>
        <v/>
      </c>
      <c r="I30" s="147" t="str">
        <f t="shared" si="1"/>
        <v/>
      </c>
      <c r="J30" s="144" t="str">
        <f t="shared" si="2"/>
        <v/>
      </c>
      <c r="K30" s="149" t="str">
        <f t="shared" si="3"/>
        <v/>
      </c>
      <c r="L30" s="146" t="str">
        <f t="shared" si="4"/>
        <v/>
      </c>
      <c r="M30" s="13"/>
      <c r="N30" s="370" t="str">
        <f>IFERROR(VLOOKUP(C30, 商品リスト!A:D, 4, FALSE),"")</f>
        <v/>
      </c>
      <c r="O30" s="19"/>
      <c r="P30" s="19"/>
    </row>
    <row r="31" spans="1:16" ht="20.25" customHeight="1">
      <c r="A31" s="40"/>
      <c r="B31" s="43"/>
      <c r="C31" s="42"/>
      <c r="D31" s="372" t="str">
        <f>IFERROR(VLOOKUP(C31, 商品リスト!A:B, 2, FALSE),"")</f>
        <v/>
      </c>
      <c r="E31" s="31"/>
      <c r="F31" s="371"/>
      <c r="G31" s="348" t="str">
        <f>IF(C31&lt;&gt;"", IFERROR(VLOOKUP(C31, 商品リスト!A:C, 3, FALSE), ""), "")</f>
        <v/>
      </c>
      <c r="H31" s="142" t="str">
        <f t="shared" si="0"/>
        <v/>
      </c>
      <c r="I31" s="147" t="str">
        <f t="shared" si="1"/>
        <v/>
      </c>
      <c r="J31" s="144" t="str">
        <f t="shared" si="2"/>
        <v/>
      </c>
      <c r="K31" s="149" t="str">
        <f t="shared" si="3"/>
        <v/>
      </c>
      <c r="L31" s="146" t="str">
        <f t="shared" si="4"/>
        <v/>
      </c>
      <c r="M31" s="13"/>
      <c r="N31" s="370" t="str">
        <f>IFERROR(VLOOKUP(C31, 商品リスト!A:D, 4, FALSE),"")</f>
        <v/>
      </c>
      <c r="O31" s="19"/>
      <c r="P31" s="19"/>
    </row>
    <row r="32" spans="1:16" ht="20.25" customHeight="1">
      <c r="A32" s="40"/>
      <c r="B32" s="42"/>
      <c r="C32" s="42"/>
      <c r="D32" s="372" t="str">
        <f>IFERROR(VLOOKUP(C32, 商品リスト!A:B, 2, FALSE),"")</f>
        <v/>
      </c>
      <c r="E32" s="31"/>
      <c r="F32" s="371"/>
      <c r="G32" s="348" t="str">
        <f>IF(C32&lt;&gt;"", IFERROR(VLOOKUP(C32, 商品リスト!A:C, 3, FALSE), ""), "")</f>
        <v/>
      </c>
      <c r="H32" s="142" t="str">
        <f t="shared" si="0"/>
        <v/>
      </c>
      <c r="I32" s="147" t="str">
        <f t="shared" si="1"/>
        <v/>
      </c>
      <c r="J32" s="144" t="str">
        <f t="shared" si="2"/>
        <v/>
      </c>
      <c r="K32" s="149" t="str">
        <f t="shared" si="3"/>
        <v/>
      </c>
      <c r="L32" s="146" t="str">
        <f t="shared" si="4"/>
        <v/>
      </c>
      <c r="M32" s="13"/>
      <c r="N32" s="370" t="str">
        <f>IFERROR(VLOOKUP(C32, 商品リスト!A:D, 4, FALSE),"")</f>
        <v/>
      </c>
      <c r="O32" s="19"/>
      <c r="P32" s="19"/>
    </row>
    <row r="33" spans="1:16" ht="20.25" customHeight="1">
      <c r="A33" s="40"/>
      <c r="B33" s="42"/>
      <c r="C33" s="42"/>
      <c r="D33" s="372" t="str">
        <f>IFERROR(VLOOKUP(C33, 商品リスト!A:B, 2, FALSE),"")</f>
        <v/>
      </c>
      <c r="E33" s="32"/>
      <c r="F33" s="35"/>
      <c r="G33" s="348" t="str">
        <f>IF(C33&lt;&gt;"", IFERROR(VLOOKUP(C33, 商品リスト!A:C, 3, FALSE), ""), "")</f>
        <v/>
      </c>
      <c r="H33" s="142" t="str">
        <f t="shared" si="0"/>
        <v/>
      </c>
      <c r="I33" s="147" t="str">
        <f t="shared" si="1"/>
        <v/>
      </c>
      <c r="J33" s="144" t="str">
        <f t="shared" si="2"/>
        <v/>
      </c>
      <c r="K33" s="149" t="str">
        <f t="shared" si="3"/>
        <v/>
      </c>
      <c r="L33" s="146" t="str">
        <f t="shared" si="4"/>
        <v/>
      </c>
      <c r="M33" s="13"/>
      <c r="N33" s="370" t="str">
        <f>IFERROR(VLOOKUP(C33, 商品リスト!A:D, 4, FALSE),"")</f>
        <v/>
      </c>
      <c r="O33" s="19"/>
      <c r="P33" s="19"/>
    </row>
    <row r="34" spans="1:16" ht="20.25" customHeight="1">
      <c r="A34" s="40"/>
      <c r="B34" s="43"/>
      <c r="C34" s="42"/>
      <c r="D34" s="372" t="str">
        <f>IFERROR(VLOOKUP(C34, 商品リスト!A:B, 2, FALSE),"")</f>
        <v/>
      </c>
      <c r="E34" s="31"/>
      <c r="F34" s="34"/>
      <c r="G34" s="348" t="str">
        <f>IF(C34&lt;&gt;"", IFERROR(VLOOKUP(C34, 商品リスト!A:C, 3, FALSE), ""), "")</f>
        <v/>
      </c>
      <c r="H34" s="142" t="str">
        <f t="shared" si="0"/>
        <v/>
      </c>
      <c r="I34" s="147" t="str">
        <f t="shared" si="1"/>
        <v/>
      </c>
      <c r="J34" s="144" t="str">
        <f t="shared" si="2"/>
        <v/>
      </c>
      <c r="K34" s="149" t="str">
        <f t="shared" si="3"/>
        <v/>
      </c>
      <c r="L34" s="146" t="str">
        <f t="shared" si="4"/>
        <v/>
      </c>
      <c r="M34" s="13"/>
      <c r="N34" s="370" t="str">
        <f>IFERROR(VLOOKUP(C34, 商品リスト!A:D, 4, FALSE),"")</f>
        <v/>
      </c>
      <c r="O34" s="19"/>
      <c r="P34" s="19"/>
    </row>
    <row r="35" spans="1:16" ht="20.25" customHeight="1">
      <c r="A35" s="40"/>
      <c r="B35" s="43"/>
      <c r="C35" s="42"/>
      <c r="D35" s="372" t="str">
        <f>IFERROR(VLOOKUP(C35, 商品リスト!A:B, 2, FALSE),"")</f>
        <v/>
      </c>
      <c r="E35" s="31"/>
      <c r="F35" s="34"/>
      <c r="G35" s="348" t="str">
        <f>IF(C35&lt;&gt;"", IFERROR(VLOOKUP(C35, 商品リスト!A:C, 3, FALSE), ""), "")</f>
        <v/>
      </c>
      <c r="H35" s="142" t="str">
        <f t="shared" si="0"/>
        <v/>
      </c>
      <c r="I35" s="147" t="str">
        <f t="shared" si="1"/>
        <v/>
      </c>
      <c r="J35" s="144" t="str">
        <f t="shared" si="2"/>
        <v/>
      </c>
      <c r="K35" s="149" t="str">
        <f t="shared" si="3"/>
        <v/>
      </c>
      <c r="L35" s="146" t="str">
        <f t="shared" si="4"/>
        <v/>
      </c>
      <c r="M35" s="13"/>
      <c r="N35" s="370" t="str">
        <f>IFERROR(VLOOKUP(C35, 商品リスト!A:D, 4, FALSE),"")</f>
        <v/>
      </c>
      <c r="O35" s="19"/>
      <c r="P35" s="19"/>
    </row>
    <row r="36" spans="1:16" ht="20.25" customHeight="1">
      <c r="A36" s="40"/>
      <c r="B36" s="43"/>
      <c r="C36" s="42"/>
      <c r="D36" s="372" t="str">
        <f>IFERROR(VLOOKUP(C36, 商品リスト!A:B, 2, FALSE),"")</f>
        <v/>
      </c>
      <c r="E36" s="32"/>
      <c r="F36" s="34"/>
      <c r="G36" s="348" t="str">
        <f>IF(C36&lt;&gt;"", IFERROR(VLOOKUP(C36, 商品リスト!A:C, 3, FALSE), ""), "")</f>
        <v/>
      </c>
      <c r="H36" s="142" t="str">
        <f t="shared" si="0"/>
        <v/>
      </c>
      <c r="I36" s="147" t="str">
        <f t="shared" si="1"/>
        <v/>
      </c>
      <c r="J36" s="144" t="str">
        <f t="shared" si="2"/>
        <v/>
      </c>
      <c r="K36" s="149" t="str">
        <f t="shared" si="3"/>
        <v/>
      </c>
      <c r="L36" s="146" t="str">
        <f t="shared" si="4"/>
        <v/>
      </c>
      <c r="M36" s="13"/>
      <c r="N36" s="370" t="str">
        <f>IFERROR(VLOOKUP(C36, 商品リスト!A:D, 4, FALSE),"")</f>
        <v/>
      </c>
      <c r="O36" s="19"/>
      <c r="P36" s="19"/>
    </row>
    <row r="37" spans="1:16" ht="20.25" customHeight="1">
      <c r="A37" s="40"/>
      <c r="B37" s="43"/>
      <c r="C37" s="42"/>
      <c r="D37" s="372" t="str">
        <f>IFERROR(VLOOKUP(C37, 商品リスト!A:B, 2, FALSE),"")</f>
        <v/>
      </c>
      <c r="E37" s="32"/>
      <c r="F37" s="34"/>
      <c r="G37" s="348" t="str">
        <f>IF(C37&lt;&gt;"", IFERROR(VLOOKUP(C37, 商品リスト!A:C, 3, FALSE), ""), "")</f>
        <v/>
      </c>
      <c r="H37" s="142" t="str">
        <f t="shared" si="0"/>
        <v/>
      </c>
      <c r="I37" s="147" t="str">
        <f t="shared" si="1"/>
        <v/>
      </c>
      <c r="J37" s="144" t="str">
        <f t="shared" si="2"/>
        <v/>
      </c>
      <c r="K37" s="149" t="str">
        <f t="shared" si="3"/>
        <v/>
      </c>
      <c r="L37" s="146" t="str">
        <f t="shared" si="4"/>
        <v/>
      </c>
      <c r="M37" s="13"/>
      <c r="N37" s="370" t="str">
        <f>IFERROR(VLOOKUP(C37, 商品リスト!A:D, 4, FALSE),"")</f>
        <v/>
      </c>
      <c r="O37" s="19"/>
      <c r="P37" s="19"/>
    </row>
    <row r="38" spans="1:16" ht="20.25" customHeight="1">
      <c r="A38" s="40"/>
      <c r="B38" s="43"/>
      <c r="C38" s="42"/>
      <c r="D38" s="372" t="str">
        <f>IFERROR(VLOOKUP(C38, 商品リスト!A:B, 2, FALSE),"")</f>
        <v/>
      </c>
      <c r="E38" s="32"/>
      <c r="F38" s="34"/>
      <c r="G38" s="348" t="str">
        <f>IF(C38&lt;&gt;"", IFERROR(VLOOKUP(C38, 商品リスト!A:C, 3, FALSE), ""), "")</f>
        <v/>
      </c>
      <c r="H38" s="142" t="str">
        <f t="shared" si="0"/>
        <v/>
      </c>
      <c r="I38" s="147" t="str">
        <f t="shared" si="1"/>
        <v/>
      </c>
      <c r="J38" s="144" t="str">
        <f t="shared" si="2"/>
        <v/>
      </c>
      <c r="K38" s="149" t="str">
        <f t="shared" si="3"/>
        <v/>
      </c>
      <c r="L38" s="146" t="str">
        <f t="shared" si="4"/>
        <v/>
      </c>
      <c r="M38" s="13"/>
      <c r="N38" s="370" t="str">
        <f>IFERROR(VLOOKUP(C38, 商品リスト!A:D, 4, FALSE),"")</f>
        <v/>
      </c>
      <c r="O38" s="19"/>
      <c r="P38" s="19"/>
    </row>
    <row r="39" spans="1:16" ht="20.25" customHeight="1">
      <c r="A39" s="40"/>
      <c r="B39" s="43"/>
      <c r="C39" s="42"/>
      <c r="D39" s="372" t="str">
        <f>IFERROR(VLOOKUP(C39, 商品リスト!A:B, 2, FALSE),"")</f>
        <v/>
      </c>
      <c r="E39" s="32"/>
      <c r="F39" s="35"/>
      <c r="G39" s="348" t="str">
        <f>IF(C39&lt;&gt;"", IFERROR(VLOOKUP(C39, 商品リスト!A:C, 3, FALSE), ""), "")</f>
        <v/>
      </c>
      <c r="H39" s="142" t="str">
        <f t="shared" si="0"/>
        <v/>
      </c>
      <c r="I39" s="147" t="str">
        <f t="shared" si="1"/>
        <v/>
      </c>
      <c r="J39" s="144" t="str">
        <f t="shared" si="2"/>
        <v/>
      </c>
      <c r="K39" s="149" t="str">
        <f t="shared" si="3"/>
        <v/>
      </c>
      <c r="L39" s="146" t="str">
        <f t="shared" si="4"/>
        <v/>
      </c>
      <c r="M39" s="13"/>
      <c r="N39" s="370" t="str">
        <f>IFERROR(VLOOKUP(C39, 商品リスト!A:D, 4, FALSE),"")</f>
        <v/>
      </c>
      <c r="O39" s="19"/>
      <c r="P39" s="19"/>
    </row>
    <row r="40" spans="1:16" ht="20.25" customHeight="1">
      <c r="A40" s="40"/>
      <c r="B40" s="43"/>
      <c r="C40" s="42"/>
      <c r="D40" s="372" t="str">
        <f>IFERROR(VLOOKUP(C40, 商品リスト!A:B, 2, FALSE),"")</f>
        <v/>
      </c>
      <c r="E40" s="32"/>
      <c r="F40" s="34"/>
      <c r="G40" s="348" t="str">
        <f>IF(C40&lt;&gt;"", IFERROR(VLOOKUP(C40, 商品リスト!A:C, 3, FALSE), ""), "")</f>
        <v/>
      </c>
      <c r="H40" s="142" t="str">
        <f t="shared" si="0"/>
        <v/>
      </c>
      <c r="I40" s="147" t="str">
        <f t="shared" si="1"/>
        <v/>
      </c>
      <c r="J40" s="144" t="str">
        <f t="shared" si="2"/>
        <v/>
      </c>
      <c r="K40" s="149" t="str">
        <f t="shared" si="3"/>
        <v/>
      </c>
      <c r="L40" s="146" t="str">
        <f t="shared" si="4"/>
        <v/>
      </c>
      <c r="M40" s="13"/>
      <c r="N40" s="370" t="str">
        <f>IFERROR(VLOOKUP(C40, 商品リスト!A:D, 4, FALSE),"")</f>
        <v/>
      </c>
      <c r="O40" s="19"/>
      <c r="P40" s="19"/>
    </row>
    <row r="41" spans="1:16" ht="20.25" customHeight="1">
      <c r="A41" s="40"/>
      <c r="B41" s="43"/>
      <c r="C41" s="42"/>
      <c r="D41" s="372" t="str">
        <f>IFERROR(VLOOKUP(C41, 商品リスト!A:B, 2, FALSE),"")</f>
        <v/>
      </c>
      <c r="E41" s="32"/>
      <c r="F41" s="34"/>
      <c r="G41" s="348" t="str">
        <f>IF(C41&lt;&gt;"", IFERROR(VLOOKUP(C41, 商品リスト!A:C, 3, FALSE), ""), "")</f>
        <v/>
      </c>
      <c r="H41" s="142" t="str">
        <f t="shared" ref="H41:H72" si="5">IF(E41="","",E41*G41)</f>
        <v/>
      </c>
      <c r="I41" s="147" t="str">
        <f t="shared" si="1"/>
        <v/>
      </c>
      <c r="J41" s="144" t="str">
        <f t="shared" si="2"/>
        <v/>
      </c>
      <c r="K41" s="149" t="str">
        <f t="shared" si="3"/>
        <v/>
      </c>
      <c r="L41" s="146" t="str">
        <f t="shared" si="4"/>
        <v/>
      </c>
      <c r="M41" s="13"/>
      <c r="N41" s="370" t="str">
        <f>IFERROR(VLOOKUP(C41, 商品リスト!A:D, 4, FALSE),"")</f>
        <v/>
      </c>
      <c r="O41" s="19"/>
      <c r="P41" s="19"/>
    </row>
    <row r="42" spans="1:16" ht="20.25" customHeight="1">
      <c r="A42" s="40"/>
      <c r="B42" s="43"/>
      <c r="C42" s="42"/>
      <c r="D42" s="372" t="str">
        <f>IFERROR(VLOOKUP(C42, 商品リスト!A:B, 2, FALSE),"")</f>
        <v/>
      </c>
      <c r="E42" s="32"/>
      <c r="F42" s="34"/>
      <c r="G42" s="348" t="str">
        <f>IF(C42&lt;&gt;"", IFERROR(VLOOKUP(C42, 商品リスト!A:C, 3, FALSE), ""), "")</f>
        <v/>
      </c>
      <c r="H42" s="142" t="str">
        <f t="shared" si="5"/>
        <v/>
      </c>
      <c r="I42" s="147" t="str">
        <f t="shared" ref="I42:I73" si="6">IF(E42="","",E42)</f>
        <v/>
      </c>
      <c r="J42" s="144" t="str">
        <f t="shared" ref="J42:J73" si="7">IF(F42="","",F42)</f>
        <v/>
      </c>
      <c r="K42" s="149" t="str">
        <f t="shared" si="3"/>
        <v/>
      </c>
      <c r="L42" s="146" t="str">
        <f t="shared" si="4"/>
        <v/>
      </c>
      <c r="M42" s="13"/>
      <c r="N42" s="370" t="str">
        <f>IFERROR(VLOOKUP(C42, 商品リスト!A:D, 4, FALSE),"")</f>
        <v/>
      </c>
      <c r="O42" s="19"/>
      <c r="P42" s="19"/>
    </row>
    <row r="43" spans="1:16" ht="20.25" customHeight="1">
      <c r="A43" s="40"/>
      <c r="B43" s="43"/>
      <c r="C43" s="42"/>
      <c r="D43" s="372" t="str">
        <f>IFERROR(VLOOKUP(C43, 商品リスト!A:B, 2, FALSE),"")</f>
        <v/>
      </c>
      <c r="E43" s="32"/>
      <c r="F43" s="34"/>
      <c r="G43" s="348" t="str">
        <f>IF(C43&lt;&gt;"", IFERROR(VLOOKUP(C43, 商品リスト!A:C, 3, FALSE), ""), "")</f>
        <v/>
      </c>
      <c r="H43" s="142" t="str">
        <f t="shared" si="5"/>
        <v/>
      </c>
      <c r="I43" s="147" t="str">
        <f t="shared" si="6"/>
        <v/>
      </c>
      <c r="J43" s="144" t="str">
        <f t="shared" si="7"/>
        <v/>
      </c>
      <c r="K43" s="149" t="str">
        <f t="shared" si="3"/>
        <v/>
      </c>
      <c r="L43" s="146" t="str">
        <f t="shared" si="4"/>
        <v/>
      </c>
      <c r="M43" s="13"/>
      <c r="N43" s="370" t="str">
        <f>IFERROR(VLOOKUP(C43, 商品リスト!A:D, 4, FALSE),"")</f>
        <v/>
      </c>
      <c r="O43" s="19"/>
      <c r="P43" s="19"/>
    </row>
    <row r="44" spans="1:16" ht="20.25" customHeight="1">
      <c r="A44" s="40"/>
      <c r="B44" s="43"/>
      <c r="C44" s="42"/>
      <c r="D44" s="372" t="str">
        <f>IFERROR(VLOOKUP(C44, 商品リスト!A:B, 2, FALSE),"")</f>
        <v/>
      </c>
      <c r="E44" s="32"/>
      <c r="F44" s="34"/>
      <c r="G44" s="348" t="str">
        <f>IF(C44&lt;&gt;"", IFERROR(VLOOKUP(C44, 商品リスト!A:C, 3, FALSE), ""), "")</f>
        <v/>
      </c>
      <c r="H44" s="142" t="str">
        <f t="shared" si="5"/>
        <v/>
      </c>
      <c r="I44" s="147" t="str">
        <f t="shared" si="6"/>
        <v/>
      </c>
      <c r="J44" s="144" t="str">
        <f t="shared" si="7"/>
        <v/>
      </c>
      <c r="K44" s="149" t="str">
        <f t="shared" si="3"/>
        <v/>
      </c>
      <c r="L44" s="146" t="str">
        <f t="shared" si="4"/>
        <v/>
      </c>
      <c r="M44" s="13"/>
      <c r="N44" s="370" t="str">
        <f>IFERROR(VLOOKUP(C44, 商品リスト!A:D, 4, FALSE),"")</f>
        <v/>
      </c>
      <c r="O44" s="19"/>
      <c r="P44" s="19"/>
    </row>
    <row r="45" spans="1:16" ht="20.25" customHeight="1">
      <c r="A45" s="40"/>
      <c r="B45" s="43"/>
      <c r="C45" s="42"/>
      <c r="D45" s="372" t="str">
        <f>IFERROR(VLOOKUP(C45, 商品リスト!A:B, 2, FALSE),"")</f>
        <v/>
      </c>
      <c r="E45" s="32"/>
      <c r="F45" s="34"/>
      <c r="G45" s="348" t="str">
        <f>IF(C45&lt;&gt;"", IFERROR(VLOOKUP(C45, 商品リスト!A:C, 3, FALSE), ""), "")</f>
        <v/>
      </c>
      <c r="H45" s="142" t="str">
        <f t="shared" si="5"/>
        <v/>
      </c>
      <c r="I45" s="147" t="str">
        <f t="shared" si="6"/>
        <v/>
      </c>
      <c r="J45" s="144" t="str">
        <f t="shared" si="7"/>
        <v/>
      </c>
      <c r="K45" s="149" t="str">
        <f t="shared" si="3"/>
        <v/>
      </c>
      <c r="L45" s="146" t="str">
        <f t="shared" si="4"/>
        <v/>
      </c>
      <c r="M45" s="13"/>
      <c r="N45" s="370" t="str">
        <f>IFERROR(VLOOKUP(C45, 商品リスト!A:D, 4, FALSE),"")</f>
        <v/>
      </c>
      <c r="O45" s="19"/>
      <c r="P45" s="19"/>
    </row>
    <row r="46" spans="1:16" ht="20.25" customHeight="1">
      <c r="A46" s="40"/>
      <c r="B46" s="43"/>
      <c r="C46" s="42"/>
      <c r="D46" s="372" t="str">
        <f>IFERROR(VLOOKUP(C46, 商品リスト!A:B, 2, FALSE),"")</f>
        <v/>
      </c>
      <c r="E46" s="32"/>
      <c r="F46" s="34"/>
      <c r="G46" s="348" t="str">
        <f>IF(C46&lt;&gt;"", IFERROR(VLOOKUP(C46, 商品リスト!A:C, 3, FALSE), ""), "")</f>
        <v/>
      </c>
      <c r="H46" s="142" t="str">
        <f t="shared" si="5"/>
        <v/>
      </c>
      <c r="I46" s="147" t="str">
        <f t="shared" si="6"/>
        <v/>
      </c>
      <c r="J46" s="144" t="str">
        <f t="shared" si="7"/>
        <v/>
      </c>
      <c r="K46" s="149" t="str">
        <f t="shared" si="3"/>
        <v/>
      </c>
      <c r="L46" s="146" t="str">
        <f t="shared" si="4"/>
        <v/>
      </c>
      <c r="M46" s="13"/>
      <c r="N46" s="370" t="str">
        <f>IFERROR(VLOOKUP(C46, 商品リスト!A:D, 4, FALSE),"")</f>
        <v/>
      </c>
      <c r="O46" s="19"/>
      <c r="P46" s="19"/>
    </row>
    <row r="47" spans="1:16" ht="20.25" customHeight="1">
      <c r="A47" s="40"/>
      <c r="B47" s="43"/>
      <c r="C47" s="42"/>
      <c r="D47" s="372" t="str">
        <f>IFERROR(VLOOKUP(C47, 商品リスト!A:B, 2, FALSE),"")</f>
        <v/>
      </c>
      <c r="E47" s="32"/>
      <c r="F47" s="34"/>
      <c r="G47" s="348" t="str">
        <f>IF(C47&lt;&gt;"", IFERROR(VLOOKUP(C47, 商品リスト!A:C, 3, FALSE), ""), "")</f>
        <v/>
      </c>
      <c r="H47" s="142" t="str">
        <f t="shared" si="5"/>
        <v/>
      </c>
      <c r="I47" s="147" t="str">
        <f t="shared" si="6"/>
        <v/>
      </c>
      <c r="J47" s="144" t="str">
        <f t="shared" si="7"/>
        <v/>
      </c>
      <c r="K47" s="149" t="str">
        <f t="shared" si="3"/>
        <v/>
      </c>
      <c r="L47" s="146" t="str">
        <f t="shared" si="4"/>
        <v/>
      </c>
      <c r="M47" s="13"/>
      <c r="N47" s="370" t="str">
        <f>IFERROR(VLOOKUP(C47, 商品リスト!A:D, 4, FALSE),"")</f>
        <v/>
      </c>
      <c r="O47" s="19"/>
      <c r="P47" s="19"/>
    </row>
    <row r="48" spans="1:16" ht="20.25" customHeight="1">
      <c r="A48" s="40"/>
      <c r="B48" s="43"/>
      <c r="C48" s="42"/>
      <c r="D48" s="372" t="str">
        <f>IFERROR(VLOOKUP(C48, 商品リスト!A:B, 2, FALSE),"")</f>
        <v/>
      </c>
      <c r="E48" s="32"/>
      <c r="F48" s="34"/>
      <c r="G48" s="348" t="str">
        <f>IF(C48&lt;&gt;"", IFERROR(VLOOKUP(C48, 商品リスト!A:C, 3, FALSE), ""), "")</f>
        <v/>
      </c>
      <c r="H48" s="142" t="str">
        <f t="shared" si="5"/>
        <v/>
      </c>
      <c r="I48" s="147" t="str">
        <f t="shared" si="6"/>
        <v/>
      </c>
      <c r="J48" s="144" t="str">
        <f t="shared" si="7"/>
        <v/>
      </c>
      <c r="K48" s="149" t="str">
        <f t="shared" si="3"/>
        <v/>
      </c>
      <c r="L48" s="146" t="str">
        <f t="shared" si="4"/>
        <v/>
      </c>
      <c r="M48" s="13"/>
      <c r="N48" s="370" t="str">
        <f>IFERROR(VLOOKUP(C48, 商品リスト!A:D, 4, FALSE),"")</f>
        <v/>
      </c>
      <c r="O48" s="19"/>
      <c r="P48" s="19"/>
    </row>
    <row r="49" spans="1:16" ht="20.25" customHeight="1">
      <c r="A49" s="40"/>
      <c r="B49" s="43"/>
      <c r="C49" s="42"/>
      <c r="D49" s="372" t="str">
        <f>IFERROR(VLOOKUP(C49, 商品リスト!A:B, 2, FALSE),"")</f>
        <v/>
      </c>
      <c r="E49" s="32"/>
      <c r="F49" s="34"/>
      <c r="G49" s="348" t="str">
        <f>IF(C49&lt;&gt;"", IFERROR(VLOOKUP(C49, 商品リスト!A:C, 3, FALSE), ""), "")</f>
        <v/>
      </c>
      <c r="H49" s="142" t="str">
        <f t="shared" si="5"/>
        <v/>
      </c>
      <c r="I49" s="147" t="str">
        <f t="shared" si="6"/>
        <v/>
      </c>
      <c r="J49" s="144" t="str">
        <f t="shared" si="7"/>
        <v/>
      </c>
      <c r="K49" s="149" t="str">
        <f t="shared" si="3"/>
        <v/>
      </c>
      <c r="L49" s="146" t="str">
        <f t="shared" si="4"/>
        <v/>
      </c>
      <c r="M49" s="13"/>
      <c r="N49" s="370" t="str">
        <f>IFERROR(VLOOKUP(C49, 商品リスト!A:D, 4, FALSE),"")</f>
        <v/>
      </c>
      <c r="O49" s="19"/>
      <c r="P49" s="19"/>
    </row>
    <row r="50" spans="1:16" ht="20.25" customHeight="1">
      <c r="A50" s="40"/>
      <c r="B50" s="43"/>
      <c r="C50" s="42"/>
      <c r="D50" s="372" t="str">
        <f>IFERROR(VLOOKUP(C50, 商品リスト!A:B, 2, FALSE),"")</f>
        <v/>
      </c>
      <c r="E50" s="32"/>
      <c r="F50" s="34"/>
      <c r="G50" s="348" t="str">
        <f>IF(C50&lt;&gt;"", IFERROR(VLOOKUP(C50, 商品リスト!A:C, 3, FALSE), ""), "")</f>
        <v/>
      </c>
      <c r="H50" s="142" t="str">
        <f t="shared" si="5"/>
        <v/>
      </c>
      <c r="I50" s="147" t="str">
        <f t="shared" si="6"/>
        <v/>
      </c>
      <c r="J50" s="144" t="str">
        <f t="shared" si="7"/>
        <v/>
      </c>
      <c r="K50" s="149" t="str">
        <f t="shared" si="3"/>
        <v/>
      </c>
      <c r="L50" s="146" t="str">
        <f t="shared" si="4"/>
        <v/>
      </c>
      <c r="M50" s="13"/>
      <c r="N50" s="370" t="str">
        <f>IFERROR(VLOOKUP(C50, 商品リスト!A:D, 4, FALSE),"")</f>
        <v/>
      </c>
      <c r="O50" s="19"/>
      <c r="P50" s="19"/>
    </row>
    <row r="51" spans="1:16" ht="20.25" customHeight="1">
      <c r="A51" s="40"/>
      <c r="B51" s="43"/>
      <c r="C51" s="42"/>
      <c r="D51" s="372" t="str">
        <f>IFERROR(VLOOKUP(C51, 商品リスト!A:B, 2, FALSE),"")</f>
        <v/>
      </c>
      <c r="E51" s="32"/>
      <c r="F51" s="34"/>
      <c r="G51" s="348" t="str">
        <f>IF(C51&lt;&gt;"", IFERROR(VLOOKUP(C51, 商品リスト!A:C, 3, FALSE), ""), "")</f>
        <v/>
      </c>
      <c r="H51" s="142" t="str">
        <f t="shared" si="5"/>
        <v/>
      </c>
      <c r="I51" s="147" t="str">
        <f t="shared" si="6"/>
        <v/>
      </c>
      <c r="J51" s="144" t="str">
        <f t="shared" si="7"/>
        <v/>
      </c>
      <c r="K51" s="149" t="str">
        <f t="shared" si="3"/>
        <v/>
      </c>
      <c r="L51" s="146" t="str">
        <f t="shared" si="4"/>
        <v/>
      </c>
      <c r="M51" s="13"/>
      <c r="N51" s="370" t="str">
        <f>IFERROR(VLOOKUP(C51, 商品リスト!A:D, 4, FALSE),"")</f>
        <v/>
      </c>
      <c r="O51" s="19"/>
      <c r="P51" s="19"/>
    </row>
    <row r="52" spans="1:16" ht="20.25" customHeight="1">
      <c r="A52" s="40"/>
      <c r="B52" s="43"/>
      <c r="C52" s="42"/>
      <c r="D52" s="372" t="str">
        <f>IFERROR(VLOOKUP(C52, 商品リスト!A:B, 2, FALSE),"")</f>
        <v/>
      </c>
      <c r="E52" s="32"/>
      <c r="F52" s="34"/>
      <c r="G52" s="348" t="str">
        <f>IF(C52&lt;&gt;"", IFERROR(VLOOKUP(C52, 商品リスト!A:C, 3, FALSE), ""), "")</f>
        <v/>
      </c>
      <c r="H52" s="142" t="str">
        <f t="shared" si="5"/>
        <v/>
      </c>
      <c r="I52" s="147" t="str">
        <f t="shared" si="6"/>
        <v/>
      </c>
      <c r="J52" s="144" t="str">
        <f t="shared" si="7"/>
        <v/>
      </c>
      <c r="K52" s="149" t="str">
        <f t="shared" si="3"/>
        <v/>
      </c>
      <c r="L52" s="146" t="str">
        <f t="shared" si="4"/>
        <v/>
      </c>
      <c r="M52" s="13"/>
      <c r="N52" s="370" t="str">
        <f>IFERROR(VLOOKUP(C52, 商品リスト!A:D, 4, FALSE),"")</f>
        <v/>
      </c>
      <c r="O52" s="19"/>
      <c r="P52" s="19"/>
    </row>
    <row r="53" spans="1:16" ht="20.25" customHeight="1">
      <c r="A53" s="40"/>
      <c r="B53" s="43"/>
      <c r="C53" s="42"/>
      <c r="D53" s="372" t="str">
        <f>IFERROR(VLOOKUP(C53, 商品リスト!A:B, 2, FALSE),"")</f>
        <v/>
      </c>
      <c r="E53" s="32"/>
      <c r="F53" s="34"/>
      <c r="G53" s="348" t="str">
        <f>IF(C53&lt;&gt;"", IFERROR(VLOOKUP(C53, 商品リスト!A:C, 3, FALSE), ""), "")</f>
        <v/>
      </c>
      <c r="H53" s="142" t="str">
        <f t="shared" si="5"/>
        <v/>
      </c>
      <c r="I53" s="147" t="str">
        <f t="shared" si="6"/>
        <v/>
      </c>
      <c r="J53" s="144" t="str">
        <f t="shared" si="7"/>
        <v/>
      </c>
      <c r="K53" s="149" t="str">
        <f t="shared" si="3"/>
        <v/>
      </c>
      <c r="L53" s="146" t="str">
        <f t="shared" si="4"/>
        <v/>
      </c>
      <c r="M53" s="13"/>
      <c r="N53" s="370" t="str">
        <f>IFERROR(VLOOKUP(C53, 商品リスト!A:D, 4, FALSE),"")</f>
        <v/>
      </c>
      <c r="O53" s="19"/>
      <c r="P53" s="19"/>
    </row>
    <row r="54" spans="1:16" ht="20.25" customHeight="1">
      <c r="A54" s="40"/>
      <c r="B54" s="43"/>
      <c r="C54" s="42"/>
      <c r="D54" s="372" t="str">
        <f>IFERROR(VLOOKUP(C54, 商品リスト!A:B, 2, FALSE),"")</f>
        <v/>
      </c>
      <c r="E54" s="32"/>
      <c r="F54" s="34"/>
      <c r="G54" s="348" t="str">
        <f>IF(C54&lt;&gt;"", IFERROR(VLOOKUP(C54, 商品リスト!A:C, 3, FALSE), ""), "")</f>
        <v/>
      </c>
      <c r="H54" s="142" t="str">
        <f t="shared" si="5"/>
        <v/>
      </c>
      <c r="I54" s="147" t="str">
        <f t="shared" si="6"/>
        <v/>
      </c>
      <c r="J54" s="144" t="str">
        <f t="shared" si="7"/>
        <v/>
      </c>
      <c r="K54" s="149" t="str">
        <f t="shared" si="3"/>
        <v/>
      </c>
      <c r="L54" s="146" t="str">
        <f t="shared" si="4"/>
        <v/>
      </c>
      <c r="M54" s="13"/>
      <c r="N54" s="370" t="str">
        <f>IFERROR(VLOOKUP(C54, 商品リスト!A:D, 4, FALSE),"")</f>
        <v/>
      </c>
      <c r="O54" s="19"/>
      <c r="P54" s="19"/>
    </row>
    <row r="55" spans="1:16" ht="20.25" customHeight="1">
      <c r="A55" s="40"/>
      <c r="B55" s="43"/>
      <c r="C55" s="42"/>
      <c r="D55" s="372" t="str">
        <f>IFERROR(VLOOKUP(C55, 商品リスト!A:B, 2, FALSE),"")</f>
        <v/>
      </c>
      <c r="E55" s="32"/>
      <c r="F55" s="34"/>
      <c r="G55" s="348" t="str">
        <f>IF(C55&lt;&gt;"", IFERROR(VLOOKUP(C55, 商品リスト!A:C, 3, FALSE), ""), "")</f>
        <v/>
      </c>
      <c r="H55" s="142" t="str">
        <f t="shared" si="5"/>
        <v/>
      </c>
      <c r="I55" s="147" t="str">
        <f t="shared" si="6"/>
        <v/>
      </c>
      <c r="J55" s="144" t="str">
        <f t="shared" si="7"/>
        <v/>
      </c>
      <c r="K55" s="149" t="str">
        <f t="shared" si="3"/>
        <v/>
      </c>
      <c r="L55" s="146" t="str">
        <f t="shared" si="4"/>
        <v/>
      </c>
      <c r="M55" s="13"/>
      <c r="N55" s="370" t="str">
        <f>IFERROR(VLOOKUP(C55, 商品リスト!A:D, 4, FALSE),"")</f>
        <v/>
      </c>
      <c r="O55" s="19"/>
      <c r="P55" s="19"/>
    </row>
    <row r="56" spans="1:16" ht="20.25" customHeight="1">
      <c r="A56" s="40"/>
      <c r="B56" s="43"/>
      <c r="C56" s="42"/>
      <c r="D56" s="372" t="str">
        <f>IFERROR(VLOOKUP(C56, 商品リスト!A:B, 2, FALSE),"")</f>
        <v/>
      </c>
      <c r="E56" s="32"/>
      <c r="F56" s="34"/>
      <c r="G56" s="348" t="str">
        <f>IF(C56&lt;&gt;"", IFERROR(VLOOKUP(C56, 商品リスト!A:C, 3, FALSE), ""), "")</f>
        <v/>
      </c>
      <c r="H56" s="142" t="str">
        <f t="shared" si="5"/>
        <v/>
      </c>
      <c r="I56" s="147" t="str">
        <f t="shared" si="6"/>
        <v/>
      </c>
      <c r="J56" s="144" t="str">
        <f t="shared" si="7"/>
        <v/>
      </c>
      <c r="K56" s="149" t="str">
        <f t="shared" si="3"/>
        <v/>
      </c>
      <c r="L56" s="146" t="str">
        <f t="shared" si="4"/>
        <v/>
      </c>
      <c r="M56" s="13"/>
      <c r="N56" s="370" t="str">
        <f>IFERROR(VLOOKUP(C56, 商品リスト!A:D, 4, FALSE),"")</f>
        <v/>
      </c>
      <c r="O56" s="19"/>
      <c r="P56" s="19"/>
    </row>
    <row r="57" spans="1:16" ht="20.25" customHeight="1">
      <c r="A57" s="40"/>
      <c r="B57" s="43"/>
      <c r="C57" s="42"/>
      <c r="D57" s="372" t="str">
        <f>IFERROR(VLOOKUP(C57, 商品リスト!A:B, 2, FALSE),"")</f>
        <v/>
      </c>
      <c r="E57" s="32"/>
      <c r="F57" s="34"/>
      <c r="G57" s="348" t="str">
        <f>IF(C57&lt;&gt;"", IFERROR(VLOOKUP(C57, 商品リスト!A:C, 3, FALSE), ""), "")</f>
        <v/>
      </c>
      <c r="H57" s="142" t="str">
        <f t="shared" si="5"/>
        <v/>
      </c>
      <c r="I57" s="147" t="str">
        <f t="shared" si="6"/>
        <v/>
      </c>
      <c r="J57" s="144" t="str">
        <f t="shared" si="7"/>
        <v/>
      </c>
      <c r="K57" s="149" t="str">
        <f t="shared" si="3"/>
        <v/>
      </c>
      <c r="L57" s="146" t="str">
        <f t="shared" si="4"/>
        <v/>
      </c>
      <c r="M57" s="13"/>
      <c r="N57" s="370" t="str">
        <f>IFERROR(VLOOKUP(C57, 商品リスト!A:D, 4, FALSE),"")</f>
        <v/>
      </c>
      <c r="O57" s="19"/>
      <c r="P57" s="19"/>
    </row>
    <row r="58" spans="1:16" ht="20.25" customHeight="1">
      <c r="A58" s="40"/>
      <c r="B58" s="43"/>
      <c r="C58" s="42"/>
      <c r="D58" s="372" t="str">
        <f>IFERROR(VLOOKUP(C58, 商品リスト!A:B, 2, FALSE),"")</f>
        <v/>
      </c>
      <c r="E58" s="32"/>
      <c r="F58" s="34"/>
      <c r="G58" s="348" t="str">
        <f>IF(C58&lt;&gt;"", IFERROR(VLOOKUP(C58, 商品リスト!A:C, 3, FALSE), ""), "")</f>
        <v/>
      </c>
      <c r="H58" s="142" t="str">
        <f t="shared" si="5"/>
        <v/>
      </c>
      <c r="I58" s="147" t="str">
        <f t="shared" si="6"/>
        <v/>
      </c>
      <c r="J58" s="144" t="str">
        <f t="shared" si="7"/>
        <v/>
      </c>
      <c r="K58" s="149" t="str">
        <f t="shared" si="3"/>
        <v/>
      </c>
      <c r="L58" s="146" t="str">
        <f t="shared" si="4"/>
        <v/>
      </c>
      <c r="M58" s="13"/>
      <c r="N58" s="370" t="str">
        <f>IFERROR(VLOOKUP(C58, 商品リスト!A:D, 4, FALSE),"")</f>
        <v/>
      </c>
      <c r="O58" s="19"/>
      <c r="P58" s="19"/>
    </row>
    <row r="59" spans="1:16" ht="20.25" customHeight="1">
      <c r="A59" s="40"/>
      <c r="B59" s="43"/>
      <c r="C59" s="42"/>
      <c r="D59" s="372" t="str">
        <f>IFERROR(VLOOKUP(C59, 商品リスト!A:B, 2, FALSE),"")</f>
        <v/>
      </c>
      <c r="E59" s="32"/>
      <c r="F59" s="34"/>
      <c r="G59" s="348" t="str">
        <f>IF(C59&lt;&gt;"", IFERROR(VLOOKUP(C59, 商品リスト!A:C, 3, FALSE), ""), "")</f>
        <v/>
      </c>
      <c r="H59" s="142" t="str">
        <f t="shared" si="5"/>
        <v/>
      </c>
      <c r="I59" s="147" t="str">
        <f t="shared" si="6"/>
        <v/>
      </c>
      <c r="J59" s="144" t="str">
        <f t="shared" si="7"/>
        <v/>
      </c>
      <c r="K59" s="149" t="str">
        <f t="shared" si="3"/>
        <v/>
      </c>
      <c r="L59" s="146" t="str">
        <f t="shared" si="4"/>
        <v/>
      </c>
      <c r="M59" s="13"/>
      <c r="N59" s="370" t="str">
        <f>IFERROR(VLOOKUP(C59, 商品リスト!A:D, 4, FALSE),"")</f>
        <v/>
      </c>
      <c r="O59" s="19"/>
      <c r="P59" s="19"/>
    </row>
    <row r="60" spans="1:16" ht="20.25" customHeight="1">
      <c r="A60" s="40"/>
      <c r="B60" s="43"/>
      <c r="C60" s="42"/>
      <c r="D60" s="372" t="str">
        <f>IFERROR(VLOOKUP(C60, 商品リスト!A:B, 2, FALSE),"")</f>
        <v/>
      </c>
      <c r="E60" s="32"/>
      <c r="F60" s="34"/>
      <c r="G60" s="348" t="str">
        <f>IF(C60&lt;&gt;"", IFERROR(VLOOKUP(C60, 商品リスト!A:C, 3, FALSE), ""), "")</f>
        <v/>
      </c>
      <c r="H60" s="142" t="str">
        <f t="shared" si="5"/>
        <v/>
      </c>
      <c r="I60" s="147" t="str">
        <f t="shared" si="6"/>
        <v/>
      </c>
      <c r="J60" s="144" t="str">
        <f t="shared" si="7"/>
        <v/>
      </c>
      <c r="K60" s="149" t="str">
        <f t="shared" si="3"/>
        <v/>
      </c>
      <c r="L60" s="146" t="str">
        <f t="shared" si="4"/>
        <v/>
      </c>
      <c r="M60" s="13"/>
      <c r="N60" s="370" t="str">
        <f>IFERROR(VLOOKUP(C60, 商品リスト!A:D, 4, FALSE),"")</f>
        <v/>
      </c>
      <c r="O60" s="19"/>
      <c r="P60" s="19"/>
    </row>
    <row r="61" spans="1:16" ht="20.25" customHeight="1">
      <c r="A61" s="40"/>
      <c r="B61" s="43"/>
      <c r="C61" s="42"/>
      <c r="D61" s="372" t="str">
        <f>IFERROR(VLOOKUP(C61, 商品リスト!A:B, 2, FALSE),"")</f>
        <v/>
      </c>
      <c r="E61" s="32"/>
      <c r="F61" s="34"/>
      <c r="G61" s="348" t="str">
        <f>IF(C61&lt;&gt;"", IFERROR(VLOOKUP(C61, 商品リスト!A:C, 3, FALSE), ""), "")</f>
        <v/>
      </c>
      <c r="H61" s="142" t="str">
        <f t="shared" si="5"/>
        <v/>
      </c>
      <c r="I61" s="147" t="str">
        <f t="shared" si="6"/>
        <v/>
      </c>
      <c r="J61" s="144" t="str">
        <f t="shared" si="7"/>
        <v/>
      </c>
      <c r="K61" s="149" t="str">
        <f t="shared" si="3"/>
        <v/>
      </c>
      <c r="L61" s="146" t="str">
        <f t="shared" si="4"/>
        <v/>
      </c>
      <c r="M61" s="13"/>
      <c r="N61" s="370" t="str">
        <f>IFERROR(VLOOKUP(C61, 商品リスト!A:D, 4, FALSE),"")</f>
        <v/>
      </c>
      <c r="O61" s="19"/>
      <c r="P61" s="19"/>
    </row>
    <row r="62" spans="1:16" ht="20.25" customHeight="1">
      <c r="A62" s="40"/>
      <c r="B62" s="43"/>
      <c r="C62" s="42"/>
      <c r="D62" s="372" t="str">
        <f>IFERROR(VLOOKUP(C62, 商品リスト!A:B, 2, FALSE),"")</f>
        <v/>
      </c>
      <c r="E62" s="32"/>
      <c r="F62" s="34"/>
      <c r="G62" s="348" t="str">
        <f>IF(C62&lt;&gt;"", IFERROR(VLOOKUP(C62, 商品リスト!A:C, 3, FALSE), ""), "")</f>
        <v/>
      </c>
      <c r="H62" s="142" t="str">
        <f t="shared" si="5"/>
        <v/>
      </c>
      <c r="I62" s="147" t="str">
        <f t="shared" si="6"/>
        <v/>
      </c>
      <c r="J62" s="144" t="str">
        <f t="shared" si="7"/>
        <v/>
      </c>
      <c r="K62" s="149" t="str">
        <f t="shared" si="3"/>
        <v/>
      </c>
      <c r="L62" s="146" t="str">
        <f t="shared" si="4"/>
        <v/>
      </c>
      <c r="M62" s="13"/>
      <c r="N62" s="370" t="str">
        <f>IFERROR(VLOOKUP(C62, 商品リスト!A:D, 4, FALSE),"")</f>
        <v/>
      </c>
      <c r="O62" s="19"/>
      <c r="P62" s="19"/>
    </row>
    <row r="63" spans="1:16" ht="20.25" customHeight="1">
      <c r="A63" s="40"/>
      <c r="B63" s="43"/>
      <c r="C63" s="42"/>
      <c r="D63" s="372" t="str">
        <f>IFERROR(VLOOKUP(C63, 商品リスト!A:B, 2, FALSE),"")</f>
        <v/>
      </c>
      <c r="E63" s="32"/>
      <c r="F63" s="34"/>
      <c r="G63" s="348" t="str">
        <f>IF(C63&lt;&gt;"", IFERROR(VLOOKUP(C63, 商品リスト!A:C, 3, FALSE), ""), "")</f>
        <v/>
      </c>
      <c r="H63" s="142" t="str">
        <f t="shared" si="5"/>
        <v/>
      </c>
      <c r="I63" s="147" t="str">
        <f t="shared" si="6"/>
        <v/>
      </c>
      <c r="J63" s="144" t="str">
        <f t="shared" si="7"/>
        <v/>
      </c>
      <c r="K63" s="149" t="str">
        <f t="shared" si="3"/>
        <v/>
      </c>
      <c r="L63" s="146" t="str">
        <f t="shared" si="4"/>
        <v/>
      </c>
      <c r="M63" s="13"/>
      <c r="N63" s="370" t="str">
        <f>IFERROR(VLOOKUP(C63, 商品リスト!A:D, 4, FALSE),"")</f>
        <v/>
      </c>
      <c r="O63" s="19"/>
      <c r="P63" s="19"/>
    </row>
    <row r="64" spans="1:16" ht="20.25" customHeight="1">
      <c r="A64" s="40"/>
      <c r="B64" s="43"/>
      <c r="C64" s="42"/>
      <c r="D64" s="372" t="str">
        <f>IFERROR(VLOOKUP(C64, 商品リスト!A:B, 2, FALSE),"")</f>
        <v/>
      </c>
      <c r="E64" s="32"/>
      <c r="F64" s="34"/>
      <c r="G64" s="348" t="str">
        <f>IF(C64&lt;&gt;"", IFERROR(VLOOKUP(C64, 商品リスト!A:C, 3, FALSE), ""), "")</f>
        <v/>
      </c>
      <c r="H64" s="142" t="str">
        <f t="shared" si="5"/>
        <v/>
      </c>
      <c r="I64" s="147" t="str">
        <f t="shared" si="6"/>
        <v/>
      </c>
      <c r="J64" s="144" t="str">
        <f t="shared" si="7"/>
        <v/>
      </c>
      <c r="K64" s="149" t="str">
        <f t="shared" si="3"/>
        <v/>
      </c>
      <c r="L64" s="146" t="str">
        <f t="shared" si="4"/>
        <v/>
      </c>
      <c r="M64" s="13"/>
      <c r="N64" s="370" t="str">
        <f>IFERROR(VLOOKUP(C64, 商品リスト!A:D, 4, FALSE),"")</f>
        <v/>
      </c>
      <c r="O64" s="19"/>
      <c r="P64" s="19"/>
    </row>
    <row r="65" spans="1:16" ht="20.25" customHeight="1">
      <c r="A65" s="40"/>
      <c r="B65" s="43"/>
      <c r="C65" s="42"/>
      <c r="D65" s="372" t="str">
        <f>IFERROR(VLOOKUP(C65, 商品リスト!A:B, 2, FALSE),"")</f>
        <v/>
      </c>
      <c r="E65" s="32"/>
      <c r="F65" s="34"/>
      <c r="G65" s="348" t="str">
        <f>IF(C65&lt;&gt;"", IFERROR(VLOOKUP(C65, 商品リスト!A:C, 3, FALSE), ""), "")</f>
        <v/>
      </c>
      <c r="H65" s="142" t="str">
        <f t="shared" si="5"/>
        <v/>
      </c>
      <c r="I65" s="147" t="str">
        <f t="shared" si="6"/>
        <v/>
      </c>
      <c r="J65" s="144" t="str">
        <f t="shared" si="7"/>
        <v/>
      </c>
      <c r="K65" s="149" t="str">
        <f t="shared" si="3"/>
        <v/>
      </c>
      <c r="L65" s="146" t="str">
        <f t="shared" si="4"/>
        <v/>
      </c>
      <c r="M65" s="13"/>
      <c r="N65" s="370" t="str">
        <f>IFERROR(VLOOKUP(C65, 商品リスト!A:D, 4, FALSE),"")</f>
        <v/>
      </c>
      <c r="O65" s="19"/>
      <c r="P65" s="19"/>
    </row>
    <row r="66" spans="1:16" ht="20.25" customHeight="1">
      <c r="A66" s="40"/>
      <c r="B66" s="43"/>
      <c r="C66" s="42"/>
      <c r="D66" s="372" t="str">
        <f>IFERROR(VLOOKUP(C66, 商品リスト!A:B, 2, FALSE),"")</f>
        <v/>
      </c>
      <c r="E66" s="32"/>
      <c r="F66" s="34"/>
      <c r="G66" s="348" t="str">
        <f>IF(C66&lt;&gt;"", IFERROR(VLOOKUP(C66, 商品リスト!A:C, 3, FALSE), ""), "")</f>
        <v/>
      </c>
      <c r="H66" s="142" t="str">
        <f t="shared" si="5"/>
        <v/>
      </c>
      <c r="I66" s="147" t="str">
        <f t="shared" si="6"/>
        <v/>
      </c>
      <c r="J66" s="144" t="str">
        <f t="shared" si="7"/>
        <v/>
      </c>
      <c r="K66" s="149" t="str">
        <f t="shared" si="3"/>
        <v/>
      </c>
      <c r="L66" s="146" t="str">
        <f t="shared" si="4"/>
        <v/>
      </c>
      <c r="M66" s="13"/>
      <c r="N66" s="370" t="str">
        <f>IFERROR(VLOOKUP(C66, 商品リスト!A:D, 4, FALSE),"")</f>
        <v/>
      </c>
      <c r="O66" s="19"/>
      <c r="P66" s="19"/>
    </row>
    <row r="67" spans="1:16" ht="20.25" customHeight="1">
      <c r="A67" s="40"/>
      <c r="B67" s="43"/>
      <c r="C67" s="42"/>
      <c r="D67" s="372" t="str">
        <f>IFERROR(VLOOKUP(C67, 商品リスト!A:B, 2, FALSE),"")</f>
        <v/>
      </c>
      <c r="E67" s="32"/>
      <c r="F67" s="34"/>
      <c r="G67" s="348" t="str">
        <f>IF(C67&lt;&gt;"", IFERROR(VLOOKUP(C67, 商品リスト!A:C, 3, FALSE), ""), "")</f>
        <v/>
      </c>
      <c r="H67" s="142" t="str">
        <f t="shared" si="5"/>
        <v/>
      </c>
      <c r="I67" s="147" t="str">
        <f t="shared" si="6"/>
        <v/>
      </c>
      <c r="J67" s="144" t="str">
        <f t="shared" si="7"/>
        <v/>
      </c>
      <c r="K67" s="149" t="str">
        <f t="shared" si="3"/>
        <v/>
      </c>
      <c r="L67" s="146" t="str">
        <f t="shared" si="4"/>
        <v/>
      </c>
      <c r="M67" s="13"/>
      <c r="N67" s="370" t="str">
        <f>IFERROR(VLOOKUP(C67, 商品リスト!A:D, 4, FALSE),"")</f>
        <v/>
      </c>
      <c r="O67" s="19"/>
      <c r="P67" s="19"/>
    </row>
    <row r="68" spans="1:16" ht="20.25" customHeight="1">
      <c r="A68" s="40"/>
      <c r="B68" s="43"/>
      <c r="C68" s="42"/>
      <c r="D68" s="372" t="str">
        <f>IFERROR(VLOOKUP(C68, 商品リスト!A:B, 2, FALSE),"")</f>
        <v/>
      </c>
      <c r="E68" s="32"/>
      <c r="F68" s="34"/>
      <c r="G68" s="348" t="str">
        <f>IF(C68&lt;&gt;"", IFERROR(VLOOKUP(C68, 商品リスト!A:C, 3, FALSE), ""), "")</f>
        <v/>
      </c>
      <c r="H68" s="142" t="str">
        <f t="shared" si="5"/>
        <v/>
      </c>
      <c r="I68" s="147" t="str">
        <f t="shared" si="6"/>
        <v/>
      </c>
      <c r="J68" s="144" t="str">
        <f t="shared" si="7"/>
        <v/>
      </c>
      <c r="K68" s="149" t="str">
        <f t="shared" si="3"/>
        <v/>
      </c>
      <c r="L68" s="146" t="str">
        <f t="shared" si="4"/>
        <v/>
      </c>
      <c r="M68" s="13"/>
      <c r="N68" s="370" t="str">
        <f>IFERROR(VLOOKUP(C68, 商品リスト!A:D, 4, FALSE),"")</f>
        <v/>
      </c>
      <c r="O68" s="19"/>
      <c r="P68" s="19"/>
    </row>
    <row r="69" spans="1:16" ht="20.25" customHeight="1">
      <c r="A69" s="40"/>
      <c r="B69" s="43"/>
      <c r="C69" s="42"/>
      <c r="D69" s="372" t="str">
        <f>IFERROR(VLOOKUP(C69, 商品リスト!A:B, 2, FALSE),"")</f>
        <v/>
      </c>
      <c r="E69" s="32"/>
      <c r="F69" s="34"/>
      <c r="G69" s="348" t="str">
        <f>IF(C69&lt;&gt;"", IFERROR(VLOOKUP(C69, 商品リスト!A:C, 3, FALSE), ""), "")</f>
        <v/>
      </c>
      <c r="H69" s="142" t="str">
        <f t="shared" si="5"/>
        <v/>
      </c>
      <c r="I69" s="147" t="str">
        <f t="shared" si="6"/>
        <v/>
      </c>
      <c r="J69" s="144" t="str">
        <f t="shared" si="7"/>
        <v/>
      </c>
      <c r="K69" s="149" t="str">
        <f t="shared" si="3"/>
        <v/>
      </c>
      <c r="L69" s="146" t="str">
        <f t="shared" si="4"/>
        <v/>
      </c>
      <c r="M69" s="13"/>
      <c r="N69" s="370" t="str">
        <f>IFERROR(VLOOKUP(C69, 商品リスト!A:D, 4, FALSE),"")</f>
        <v/>
      </c>
      <c r="O69" s="19"/>
      <c r="P69" s="19"/>
    </row>
    <row r="70" spans="1:16" ht="20.25" customHeight="1">
      <c r="A70" s="40"/>
      <c r="B70" s="43"/>
      <c r="C70" s="42"/>
      <c r="D70" s="372" t="str">
        <f>IFERROR(VLOOKUP(C70, 商品リスト!A:B, 2, FALSE),"")</f>
        <v/>
      </c>
      <c r="E70" s="32"/>
      <c r="F70" s="34"/>
      <c r="G70" s="348" t="str">
        <f>IF(C70&lt;&gt;"", IFERROR(VLOOKUP(C70, 商品リスト!A:C, 3, FALSE), ""), "")</f>
        <v/>
      </c>
      <c r="H70" s="142" t="str">
        <f t="shared" si="5"/>
        <v/>
      </c>
      <c r="I70" s="147" t="str">
        <f t="shared" si="6"/>
        <v/>
      </c>
      <c r="J70" s="144" t="str">
        <f t="shared" si="7"/>
        <v/>
      </c>
      <c r="K70" s="149" t="str">
        <f t="shared" si="3"/>
        <v/>
      </c>
      <c r="L70" s="146" t="str">
        <f t="shared" si="4"/>
        <v/>
      </c>
      <c r="M70" s="13"/>
      <c r="N70" s="370" t="str">
        <f>IFERROR(VLOOKUP(C70, 商品リスト!A:D, 4, FALSE),"")</f>
        <v/>
      </c>
      <c r="O70" s="19"/>
      <c r="P70" s="19"/>
    </row>
    <row r="71" spans="1:16" ht="20.25" customHeight="1">
      <c r="A71" s="40"/>
      <c r="B71" s="43"/>
      <c r="C71" s="42"/>
      <c r="D71" s="372" t="str">
        <f>IFERROR(VLOOKUP(C71, 商品リスト!A:B, 2, FALSE),"")</f>
        <v/>
      </c>
      <c r="E71" s="32"/>
      <c r="F71" s="34"/>
      <c r="G71" s="348" t="str">
        <f>IF(C71&lt;&gt;"", IFERROR(VLOOKUP(C71, 商品リスト!A:C, 3, FALSE), ""), "")</f>
        <v/>
      </c>
      <c r="H71" s="142" t="str">
        <f t="shared" si="5"/>
        <v/>
      </c>
      <c r="I71" s="147" t="str">
        <f t="shared" si="6"/>
        <v/>
      </c>
      <c r="J71" s="144" t="str">
        <f t="shared" si="7"/>
        <v/>
      </c>
      <c r="K71" s="149" t="str">
        <f t="shared" si="3"/>
        <v/>
      </c>
      <c r="L71" s="146" t="str">
        <f t="shared" si="4"/>
        <v/>
      </c>
      <c r="M71" s="13"/>
      <c r="N71" s="370" t="str">
        <f>IFERROR(VLOOKUP(C71, 商品リスト!A:D, 4, FALSE),"")</f>
        <v/>
      </c>
      <c r="O71" s="19"/>
      <c r="P71" s="19"/>
    </row>
    <row r="72" spans="1:16" ht="20.25" customHeight="1">
      <c r="A72" s="40"/>
      <c r="B72" s="43"/>
      <c r="C72" s="42"/>
      <c r="D72" s="372" t="str">
        <f>IFERROR(VLOOKUP(C72, 商品リスト!A:B, 2, FALSE),"")</f>
        <v/>
      </c>
      <c r="E72" s="32"/>
      <c r="F72" s="34"/>
      <c r="G72" s="348" t="str">
        <f>IF(C72&lt;&gt;"", IFERROR(VLOOKUP(C72, 商品リスト!A:C, 3, FALSE), ""), "")</f>
        <v/>
      </c>
      <c r="H72" s="142" t="str">
        <f t="shared" si="5"/>
        <v/>
      </c>
      <c r="I72" s="147" t="str">
        <f t="shared" si="6"/>
        <v/>
      </c>
      <c r="J72" s="144" t="str">
        <f t="shared" si="7"/>
        <v/>
      </c>
      <c r="K72" s="149" t="str">
        <f t="shared" si="3"/>
        <v/>
      </c>
      <c r="L72" s="146" t="str">
        <f t="shared" si="4"/>
        <v/>
      </c>
      <c r="M72" s="13"/>
      <c r="N72" s="370" t="str">
        <f>IFERROR(VLOOKUP(C72, 商品リスト!A:D, 4, FALSE),"")</f>
        <v/>
      </c>
      <c r="O72" s="19"/>
      <c r="P72" s="19"/>
    </row>
    <row r="73" spans="1:16" ht="20.25" customHeight="1">
      <c r="A73" s="40"/>
      <c r="B73" s="43"/>
      <c r="C73" s="42"/>
      <c r="D73" s="372" t="str">
        <f>IFERROR(VLOOKUP(C73, 商品リスト!A:B, 2, FALSE),"")</f>
        <v/>
      </c>
      <c r="E73" s="32"/>
      <c r="F73" s="34"/>
      <c r="G73" s="348" t="str">
        <f>IF(C73&lt;&gt;"", IFERROR(VLOOKUP(C73, 商品リスト!A:C, 3, FALSE), ""), "")</f>
        <v/>
      </c>
      <c r="H73" s="142" t="str">
        <f t="shared" ref="H73:H84" si="8">IF(E73="","",E73*G73)</f>
        <v/>
      </c>
      <c r="I73" s="147" t="str">
        <f t="shared" si="6"/>
        <v/>
      </c>
      <c r="J73" s="144" t="str">
        <f t="shared" si="7"/>
        <v/>
      </c>
      <c r="K73" s="149" t="str">
        <f t="shared" si="3"/>
        <v/>
      </c>
      <c r="L73" s="146" t="str">
        <f t="shared" si="4"/>
        <v/>
      </c>
      <c r="M73" s="13"/>
      <c r="N73" s="370" t="str">
        <f>IFERROR(VLOOKUP(C73, 商品リスト!A:D, 4, FALSE),"")</f>
        <v/>
      </c>
      <c r="O73" s="19"/>
      <c r="P73" s="19"/>
    </row>
    <row r="74" spans="1:16" ht="20.25" customHeight="1">
      <c r="A74" s="40"/>
      <c r="B74" s="43"/>
      <c r="C74" s="42"/>
      <c r="D74" s="372" t="str">
        <f>IFERROR(VLOOKUP(C74, 商品リスト!A:B, 2, FALSE),"")</f>
        <v/>
      </c>
      <c r="E74" s="32"/>
      <c r="F74" s="34"/>
      <c r="G74" s="348" t="str">
        <f>IF(C74&lt;&gt;"", IFERROR(VLOOKUP(C74, 商品リスト!A:C, 3, FALSE), ""), "")</f>
        <v/>
      </c>
      <c r="H74" s="142" t="str">
        <f t="shared" si="8"/>
        <v/>
      </c>
      <c r="I74" s="147" t="str">
        <f t="shared" ref="I74:I84" si="9">IF(E74="","",E74)</f>
        <v/>
      </c>
      <c r="J74" s="144" t="str">
        <f t="shared" ref="J74:J84" si="10">IF(F74="","",F74)</f>
        <v/>
      </c>
      <c r="K74" s="149" t="str">
        <f t="shared" ref="K74:K84" si="11">IF(G74="","",G74)</f>
        <v/>
      </c>
      <c r="L74" s="146" t="str">
        <f t="shared" ref="L74:L84" si="12">IF(H74="","",H74)</f>
        <v/>
      </c>
      <c r="M74" s="13"/>
      <c r="N74" s="370" t="str">
        <f>IFERROR(VLOOKUP(C74, 商品リスト!A:D, 4, FALSE),"")</f>
        <v/>
      </c>
      <c r="O74" s="19"/>
      <c r="P74" s="19"/>
    </row>
    <row r="75" spans="1:16" ht="20.25" customHeight="1">
      <c r="A75" s="40"/>
      <c r="B75" s="43"/>
      <c r="C75" s="42"/>
      <c r="D75" s="372" t="str">
        <f>IFERROR(VLOOKUP(C75, 商品リスト!A:B, 2, FALSE),"")</f>
        <v/>
      </c>
      <c r="E75" s="32"/>
      <c r="F75" s="34"/>
      <c r="G75" s="348" t="str">
        <f>IF(C75&lt;&gt;"", IFERROR(VLOOKUP(C75, 商品リスト!A:C, 3, FALSE), ""), "")</f>
        <v/>
      </c>
      <c r="H75" s="142" t="str">
        <f t="shared" si="8"/>
        <v/>
      </c>
      <c r="I75" s="147" t="str">
        <f t="shared" si="9"/>
        <v/>
      </c>
      <c r="J75" s="144" t="str">
        <f t="shared" si="10"/>
        <v/>
      </c>
      <c r="K75" s="149" t="str">
        <f t="shared" si="11"/>
        <v/>
      </c>
      <c r="L75" s="146" t="str">
        <f t="shared" si="12"/>
        <v/>
      </c>
      <c r="M75" s="13"/>
      <c r="N75" s="370" t="str">
        <f>IFERROR(VLOOKUP(C75, 商品リスト!A:D, 4, FALSE),"")</f>
        <v/>
      </c>
      <c r="O75" s="19"/>
      <c r="P75" s="19"/>
    </row>
    <row r="76" spans="1:16" ht="20.25" customHeight="1">
      <c r="A76" s="40"/>
      <c r="B76" s="43"/>
      <c r="C76" s="42"/>
      <c r="D76" s="372" t="str">
        <f>IFERROR(VLOOKUP(C76, 商品リスト!A:B, 2, FALSE),"")</f>
        <v/>
      </c>
      <c r="E76" s="32"/>
      <c r="F76" s="34"/>
      <c r="G76" s="348" t="str">
        <f>IF(C76&lt;&gt;"", IFERROR(VLOOKUP(C76, 商品リスト!A:C, 3, FALSE), ""), "")</f>
        <v/>
      </c>
      <c r="H76" s="142" t="str">
        <f t="shared" si="8"/>
        <v/>
      </c>
      <c r="I76" s="147" t="str">
        <f t="shared" si="9"/>
        <v/>
      </c>
      <c r="J76" s="144" t="str">
        <f t="shared" si="10"/>
        <v/>
      </c>
      <c r="K76" s="149" t="str">
        <f t="shared" si="11"/>
        <v/>
      </c>
      <c r="L76" s="146" t="str">
        <f t="shared" si="12"/>
        <v/>
      </c>
      <c r="M76" s="13"/>
      <c r="N76" s="370" t="str">
        <f>IFERROR(VLOOKUP(C76, 商品リスト!A:D, 4, FALSE),"")</f>
        <v/>
      </c>
      <c r="O76" s="19"/>
      <c r="P76" s="19"/>
    </row>
    <row r="77" spans="1:16" ht="20.25" customHeight="1">
      <c r="A77" s="40"/>
      <c r="B77" s="43"/>
      <c r="C77" s="42"/>
      <c r="D77" s="372" t="str">
        <f>IFERROR(VLOOKUP(C77, 商品リスト!A:B, 2, FALSE),"")</f>
        <v/>
      </c>
      <c r="E77" s="32"/>
      <c r="F77" s="34"/>
      <c r="G77" s="348" t="str">
        <f>IF(C77&lt;&gt;"", IFERROR(VLOOKUP(C77, 商品リスト!A:C, 3, FALSE), ""), "")</f>
        <v/>
      </c>
      <c r="H77" s="142" t="str">
        <f t="shared" si="8"/>
        <v/>
      </c>
      <c r="I77" s="147" t="str">
        <f t="shared" si="9"/>
        <v/>
      </c>
      <c r="J77" s="144" t="str">
        <f t="shared" si="10"/>
        <v/>
      </c>
      <c r="K77" s="149" t="str">
        <f t="shared" si="11"/>
        <v/>
      </c>
      <c r="L77" s="146" t="str">
        <f t="shared" si="12"/>
        <v/>
      </c>
      <c r="M77" s="13"/>
      <c r="N77" s="370" t="str">
        <f>IFERROR(VLOOKUP(C77, 商品リスト!A:D, 4, FALSE),"")</f>
        <v/>
      </c>
      <c r="O77" s="19"/>
      <c r="P77" s="19"/>
    </row>
    <row r="78" spans="1:16" ht="20.25" customHeight="1">
      <c r="A78" s="40"/>
      <c r="B78" s="43"/>
      <c r="C78" s="42"/>
      <c r="D78" s="372" t="str">
        <f>IFERROR(VLOOKUP(C78, 商品リスト!A:B, 2, FALSE),"")</f>
        <v/>
      </c>
      <c r="E78" s="32"/>
      <c r="F78" s="34"/>
      <c r="G78" s="348" t="str">
        <f>IF(C78&lt;&gt;"", IFERROR(VLOOKUP(C78, 商品リスト!A:C, 3, FALSE), ""), "")</f>
        <v/>
      </c>
      <c r="H78" s="142" t="str">
        <f t="shared" si="8"/>
        <v/>
      </c>
      <c r="I78" s="147" t="str">
        <f t="shared" si="9"/>
        <v/>
      </c>
      <c r="J78" s="144" t="str">
        <f t="shared" si="10"/>
        <v/>
      </c>
      <c r="K78" s="149" t="str">
        <f t="shared" si="11"/>
        <v/>
      </c>
      <c r="L78" s="146" t="str">
        <f t="shared" si="12"/>
        <v/>
      </c>
      <c r="M78" s="13"/>
      <c r="N78" s="370" t="str">
        <f>IFERROR(VLOOKUP(C78, 商品リスト!A:D, 4, FALSE),"")</f>
        <v/>
      </c>
      <c r="O78" s="19"/>
      <c r="P78" s="19"/>
    </row>
    <row r="79" spans="1:16" ht="20.25" customHeight="1">
      <c r="A79" s="40"/>
      <c r="B79" s="43"/>
      <c r="C79" s="42"/>
      <c r="D79" s="372" t="str">
        <f>IFERROR(VLOOKUP(C79, 商品リスト!A:B, 2, FALSE),"")</f>
        <v/>
      </c>
      <c r="E79" s="32"/>
      <c r="F79" s="34"/>
      <c r="G79" s="348" t="str">
        <f>IF(C79&lt;&gt;"", IFERROR(VLOOKUP(C79, 商品リスト!A:C, 3, FALSE), ""), "")</f>
        <v/>
      </c>
      <c r="H79" s="142" t="str">
        <f t="shared" si="8"/>
        <v/>
      </c>
      <c r="I79" s="147" t="str">
        <f t="shared" si="9"/>
        <v/>
      </c>
      <c r="J79" s="144" t="str">
        <f t="shared" si="10"/>
        <v/>
      </c>
      <c r="K79" s="145" t="str">
        <f t="shared" si="11"/>
        <v/>
      </c>
      <c r="L79" s="146" t="str">
        <f t="shared" si="12"/>
        <v/>
      </c>
      <c r="M79" s="13"/>
      <c r="N79" s="370" t="str">
        <f>IFERROR(VLOOKUP(C79, 商品リスト!A:D, 4, FALSE),"")</f>
        <v/>
      </c>
      <c r="O79" s="19"/>
      <c r="P79" s="19"/>
    </row>
    <row r="80" spans="1:16" ht="20.25" customHeight="1">
      <c r="A80" s="40"/>
      <c r="B80" s="43"/>
      <c r="C80" s="42"/>
      <c r="D80" s="372" t="str">
        <f>IFERROR(VLOOKUP(C80, 商品リスト!A:B, 2, FALSE),"")</f>
        <v/>
      </c>
      <c r="E80" s="32"/>
      <c r="F80" s="34"/>
      <c r="G80" s="348" t="str">
        <f>IF(C80&lt;&gt;"", IFERROR(VLOOKUP(C80, 商品リスト!A:C, 3, FALSE), ""), "")</f>
        <v/>
      </c>
      <c r="H80" s="142" t="str">
        <f t="shared" si="8"/>
        <v/>
      </c>
      <c r="I80" s="147" t="str">
        <f t="shared" si="9"/>
        <v/>
      </c>
      <c r="J80" s="144" t="str">
        <f t="shared" si="10"/>
        <v/>
      </c>
      <c r="K80" s="150" t="str">
        <f t="shared" si="11"/>
        <v/>
      </c>
      <c r="L80" s="146" t="str">
        <f t="shared" si="12"/>
        <v/>
      </c>
      <c r="M80" s="14"/>
      <c r="N80" s="370" t="str">
        <f>IFERROR(VLOOKUP(C80, 商品リスト!A:D, 4, FALSE),"")</f>
        <v/>
      </c>
      <c r="O80" s="19"/>
      <c r="P80" s="19"/>
    </row>
    <row r="81" spans="1:16" ht="20.25" customHeight="1">
      <c r="A81" s="40"/>
      <c r="B81" s="43"/>
      <c r="C81" s="42"/>
      <c r="D81" s="372" t="str">
        <f>IFERROR(VLOOKUP(C81, 商品リスト!A:B, 2, FALSE),"")</f>
        <v/>
      </c>
      <c r="E81" s="32"/>
      <c r="F81" s="34"/>
      <c r="G81" s="348" t="str">
        <f>IF(C81&lt;&gt;"", IFERROR(VLOOKUP(C81, 商品リスト!A:C, 3, FALSE), ""), "")</f>
        <v/>
      </c>
      <c r="H81" s="142" t="str">
        <f t="shared" si="8"/>
        <v/>
      </c>
      <c r="I81" s="147" t="str">
        <f t="shared" si="9"/>
        <v/>
      </c>
      <c r="J81" s="144" t="str">
        <f t="shared" si="10"/>
        <v/>
      </c>
      <c r="K81" s="149" t="str">
        <f t="shared" si="11"/>
        <v/>
      </c>
      <c r="L81" s="146" t="str">
        <f t="shared" si="12"/>
        <v/>
      </c>
      <c r="M81" s="13"/>
      <c r="N81" s="370" t="str">
        <f>IFERROR(VLOOKUP(C81, 商品リスト!A:D, 4, FALSE),"")</f>
        <v/>
      </c>
      <c r="O81" s="19"/>
      <c r="P81" s="19"/>
    </row>
    <row r="82" spans="1:16" ht="20.25" customHeight="1">
      <c r="A82" s="40"/>
      <c r="B82" s="43"/>
      <c r="C82" s="42"/>
      <c r="D82" s="372" t="str">
        <f>IFERROR(VLOOKUP(C82, 商品リスト!A:B, 2, FALSE),"")</f>
        <v/>
      </c>
      <c r="E82" s="32"/>
      <c r="F82" s="34"/>
      <c r="G82" s="348" t="str">
        <f>IF(C82&lt;&gt;"", IFERROR(VLOOKUP(C82, 商品リスト!A:C, 3, FALSE), ""), "")</f>
        <v/>
      </c>
      <c r="H82" s="142" t="str">
        <f t="shared" si="8"/>
        <v/>
      </c>
      <c r="I82" s="147" t="str">
        <f t="shared" si="9"/>
        <v/>
      </c>
      <c r="J82" s="144" t="str">
        <f t="shared" si="10"/>
        <v/>
      </c>
      <c r="K82" s="149" t="str">
        <f t="shared" si="11"/>
        <v/>
      </c>
      <c r="L82" s="146" t="str">
        <f t="shared" si="12"/>
        <v/>
      </c>
      <c r="M82" s="13"/>
      <c r="N82" s="370" t="str">
        <f>IFERROR(VLOOKUP(C82, 商品リスト!A:D, 4, FALSE),"")</f>
        <v/>
      </c>
      <c r="O82" s="19"/>
      <c r="P82" s="19"/>
    </row>
    <row r="83" spans="1:16" ht="20.25" customHeight="1">
      <c r="A83" s="40"/>
      <c r="B83" s="43"/>
      <c r="C83" s="42"/>
      <c r="D83" s="372" t="str">
        <f>IFERROR(VLOOKUP(C83, 商品リスト!A:B, 2, FALSE),"")</f>
        <v/>
      </c>
      <c r="E83" s="32"/>
      <c r="F83" s="34"/>
      <c r="G83" s="348" t="str">
        <f>IF(C83&lt;&gt;"", IFERROR(VLOOKUP(C83, 商品リスト!A:C, 3, FALSE), ""), "")</f>
        <v/>
      </c>
      <c r="H83" s="142" t="str">
        <f t="shared" si="8"/>
        <v/>
      </c>
      <c r="I83" s="147" t="str">
        <f t="shared" si="9"/>
        <v/>
      </c>
      <c r="J83" s="144" t="str">
        <f t="shared" si="10"/>
        <v/>
      </c>
      <c r="K83" s="149" t="str">
        <f t="shared" si="11"/>
        <v/>
      </c>
      <c r="L83" s="146" t="str">
        <f t="shared" si="12"/>
        <v/>
      </c>
      <c r="M83" s="18"/>
      <c r="N83" s="370" t="str">
        <f>IFERROR(VLOOKUP(C83, 商品リスト!A:D, 4, FALSE),"")</f>
        <v/>
      </c>
      <c r="O83" s="19"/>
      <c r="P83" s="19"/>
    </row>
    <row r="84" spans="1:16" ht="20.25" customHeight="1">
      <c r="A84" s="40"/>
      <c r="B84" s="43"/>
      <c r="C84" s="42"/>
      <c r="D84" s="372" t="str">
        <f>IFERROR(VLOOKUP(C84, 商品リスト!A:B, 2, FALSE),"")</f>
        <v/>
      </c>
      <c r="E84" s="32"/>
      <c r="F84" s="34"/>
      <c r="G84" s="348" t="str">
        <f>IF(C84&lt;&gt;"", IFERROR(VLOOKUP(C84, 商品リスト!A:C, 3, FALSE), ""), "")</f>
        <v/>
      </c>
      <c r="H84" s="142" t="str">
        <f t="shared" si="8"/>
        <v/>
      </c>
      <c r="I84" s="147" t="str">
        <f t="shared" si="9"/>
        <v/>
      </c>
      <c r="J84" s="144" t="str">
        <f t="shared" si="10"/>
        <v/>
      </c>
      <c r="K84" s="149" t="str">
        <f t="shared" si="11"/>
        <v/>
      </c>
      <c r="L84" s="146" t="str">
        <f t="shared" si="12"/>
        <v/>
      </c>
      <c r="M84" s="2"/>
      <c r="N84" s="370" t="str">
        <f>IFERROR(VLOOKUP(C84, 商品リスト!A:D, 4, FALSE),"")</f>
        <v/>
      </c>
      <c r="O84" s="19"/>
      <c r="P84" s="19"/>
    </row>
    <row r="85" spans="1:16" ht="20.25" customHeight="1">
      <c r="A85" s="40"/>
      <c r="B85" s="43"/>
      <c r="C85" s="350"/>
      <c r="D85" s="474" t="s">
        <v>12</v>
      </c>
      <c r="E85" s="475"/>
      <c r="F85" s="475"/>
      <c r="G85" s="476"/>
      <c r="H85" s="142">
        <f>SUM(H9:H84)</f>
        <v>0</v>
      </c>
      <c r="I85" s="60"/>
      <c r="J85" s="61"/>
      <c r="K85" s="62"/>
      <c r="L85" s="152">
        <f>SUM(L9:L84)</f>
        <v>0</v>
      </c>
      <c r="M85" s="14"/>
      <c r="N85" s="370"/>
      <c r="O85" s="19"/>
      <c r="P85" s="19"/>
    </row>
    <row r="86" spans="1:16" ht="20.25" customHeight="1">
      <c r="A86" s="40"/>
      <c r="B86" s="42"/>
      <c r="C86" s="351"/>
      <c r="D86" s="474" t="s">
        <v>26</v>
      </c>
      <c r="E86" s="475"/>
      <c r="F86" s="475"/>
      <c r="G86" s="476"/>
      <c r="H86" s="15"/>
      <c r="I86" s="60"/>
      <c r="J86" s="61"/>
      <c r="K86" s="62"/>
      <c r="L86" s="152">
        <f>H86</f>
        <v>0</v>
      </c>
      <c r="M86" s="14"/>
      <c r="N86" s="38"/>
      <c r="O86" s="19"/>
      <c r="P86" s="19"/>
    </row>
    <row r="87" spans="1:16" ht="20.25" customHeight="1">
      <c r="A87" s="40"/>
      <c r="B87" s="42"/>
      <c r="C87" s="351"/>
      <c r="D87" s="474" t="s">
        <v>13</v>
      </c>
      <c r="E87" s="475"/>
      <c r="F87" s="475"/>
      <c r="G87" s="476"/>
      <c r="H87" s="142">
        <f>ROUNDDOWN((H85+H86)*(10/100),0)</f>
        <v>0</v>
      </c>
      <c r="I87" s="60"/>
      <c r="J87" s="61"/>
      <c r="K87" s="63"/>
      <c r="L87" s="152">
        <f>ROUNDDOWN((L85+L86)*(10/100),0)</f>
        <v>0</v>
      </c>
      <c r="M87" s="14"/>
      <c r="N87" s="38"/>
      <c r="O87" s="19"/>
      <c r="P87" s="19"/>
    </row>
    <row r="88" spans="1:16" ht="20.25" customHeight="1" thickBot="1">
      <c r="A88" s="41"/>
      <c r="B88" s="44"/>
      <c r="C88" s="352"/>
      <c r="D88" s="471" t="s">
        <v>14</v>
      </c>
      <c r="E88" s="472"/>
      <c r="F88" s="472"/>
      <c r="G88" s="473"/>
      <c r="H88" s="151">
        <f>SUM(H85:H87)</f>
        <v>0</v>
      </c>
      <c r="I88" s="64"/>
      <c r="J88" s="65"/>
      <c r="K88" s="66"/>
      <c r="L88" s="153">
        <f>SUM(L85:L87)</f>
        <v>0</v>
      </c>
      <c r="M88" s="17"/>
      <c r="N88" s="39"/>
      <c r="O88" s="19"/>
      <c r="P88" s="19"/>
    </row>
  </sheetData>
  <mergeCells count="20">
    <mergeCell ref="D88:G88"/>
    <mergeCell ref="D87:G87"/>
    <mergeCell ref="D85:G85"/>
    <mergeCell ref="D86:G86"/>
    <mergeCell ref="J2:N5"/>
    <mergeCell ref="N7:N8"/>
    <mergeCell ref="M7:M8"/>
    <mergeCell ref="E7:F8"/>
    <mergeCell ref="H7:H8"/>
    <mergeCell ref="D7:D8"/>
    <mergeCell ref="G7:G8"/>
    <mergeCell ref="I8:J8"/>
    <mergeCell ref="C7:C8"/>
    <mergeCell ref="I7:L7"/>
    <mergeCell ref="A4:B4"/>
    <mergeCell ref="B5:D5"/>
    <mergeCell ref="A1:L1"/>
    <mergeCell ref="A3:B3"/>
    <mergeCell ref="A7:A8"/>
    <mergeCell ref="B7:B8"/>
  </mergeCells>
  <phoneticPr fontId="3"/>
  <pageMargins left="0.59055118110236227" right="0.39370078740157483" top="0.78740157480314965" bottom="0.78740157480314965" header="0.51181102362204722" footer="0.51181102362204722"/>
  <pageSetup paperSize="9" scale="92" orientation="landscape" horizontalDpi="4294967293" verticalDpi="360" r:id="rId1"/>
  <headerFooter alignWithMargins="0">
    <oddFooter>&amp;Cページ　　　　&amp;P／&amp;N</oddFooter>
  </headerFooter>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4EE0-F552-4478-93FB-BA06CF2C335E}">
  <sheetPr>
    <tabColor rgb="FF92D050"/>
  </sheetPr>
  <dimension ref="A1:G400"/>
  <sheetViews>
    <sheetView zoomScaleNormal="100" workbookViewId="0">
      <selection activeCell="E8" sqref="E8"/>
    </sheetView>
  </sheetViews>
  <sheetFormatPr defaultRowHeight="13"/>
  <cols>
    <col min="1" max="1" width="15.453125" customWidth="1"/>
    <col min="2" max="2" width="51.453125" customWidth="1"/>
    <col min="3" max="3" width="16" customWidth="1"/>
    <col min="4" max="4" width="22.08984375" customWidth="1"/>
  </cols>
  <sheetData>
    <row r="1" spans="1:4">
      <c r="A1" s="367" t="s">
        <v>441</v>
      </c>
      <c r="B1" s="367" t="s">
        <v>512</v>
      </c>
      <c r="C1" s="367" t="s">
        <v>433</v>
      </c>
      <c r="D1" s="368" t="s">
        <v>621</v>
      </c>
    </row>
    <row r="2" spans="1:4">
      <c r="A2" s="357" t="s">
        <v>489</v>
      </c>
      <c r="B2" s="358" t="s">
        <v>1233</v>
      </c>
      <c r="C2" s="375">
        <v>1630</v>
      </c>
      <c r="D2" s="114" t="s">
        <v>706</v>
      </c>
    </row>
    <row r="3" spans="1:4">
      <c r="A3" s="359" t="s">
        <v>437</v>
      </c>
      <c r="B3" s="360" t="s">
        <v>1234</v>
      </c>
      <c r="C3" s="376">
        <v>1630</v>
      </c>
      <c r="D3" s="114" t="s">
        <v>706</v>
      </c>
    </row>
    <row r="4" spans="1:4">
      <c r="A4" s="357" t="s">
        <v>442</v>
      </c>
      <c r="B4" s="358" t="s">
        <v>1235</v>
      </c>
      <c r="C4" s="376">
        <v>1630</v>
      </c>
      <c r="D4" s="114" t="s">
        <v>706</v>
      </c>
    </row>
    <row r="5" spans="1:4">
      <c r="A5" s="359" t="s">
        <v>434</v>
      </c>
      <c r="B5" s="360" t="s">
        <v>1236</v>
      </c>
      <c r="C5" s="376">
        <v>1630</v>
      </c>
      <c r="D5" s="114" t="s">
        <v>706</v>
      </c>
    </row>
    <row r="6" spans="1:4">
      <c r="A6" s="357" t="s">
        <v>438</v>
      </c>
      <c r="B6" s="358" t="s">
        <v>1237</v>
      </c>
      <c r="C6" s="376">
        <v>1630</v>
      </c>
      <c r="D6" s="114" t="s">
        <v>706</v>
      </c>
    </row>
    <row r="7" spans="1:4">
      <c r="A7" s="359" t="s">
        <v>439</v>
      </c>
      <c r="B7" s="360" t="s">
        <v>1238</v>
      </c>
      <c r="C7" s="376">
        <v>1630</v>
      </c>
      <c r="D7" s="114" t="s">
        <v>706</v>
      </c>
    </row>
    <row r="8" spans="1:4">
      <c r="A8" s="357" t="s">
        <v>440</v>
      </c>
      <c r="B8" s="358" t="s">
        <v>1239</v>
      </c>
      <c r="C8" s="375">
        <v>1685</v>
      </c>
      <c r="D8" s="114" t="s">
        <v>707</v>
      </c>
    </row>
    <row r="9" spans="1:4">
      <c r="A9" s="359" t="s">
        <v>443</v>
      </c>
      <c r="B9" s="360" t="s">
        <v>1240</v>
      </c>
      <c r="C9" s="376">
        <v>1685</v>
      </c>
      <c r="D9" s="114" t="s">
        <v>707</v>
      </c>
    </row>
    <row r="10" spans="1:4">
      <c r="A10" s="357" t="s">
        <v>444</v>
      </c>
      <c r="B10" s="358" t="s">
        <v>1241</v>
      </c>
      <c r="C10" s="375">
        <v>1685</v>
      </c>
      <c r="D10" s="114" t="s">
        <v>707</v>
      </c>
    </row>
    <row r="11" spans="1:4">
      <c r="A11" s="359" t="s">
        <v>445</v>
      </c>
      <c r="B11" s="360" t="s">
        <v>1242</v>
      </c>
      <c r="C11" s="376">
        <v>1665</v>
      </c>
      <c r="D11" s="114" t="s">
        <v>707</v>
      </c>
    </row>
    <row r="12" spans="1:4">
      <c r="A12" s="357" t="s">
        <v>446</v>
      </c>
      <c r="B12" s="358" t="s">
        <v>1243</v>
      </c>
      <c r="C12" s="375">
        <v>1665</v>
      </c>
      <c r="D12" s="114" t="s">
        <v>707</v>
      </c>
    </row>
    <row r="13" spans="1:4">
      <c r="A13" s="359" t="s">
        <v>447</v>
      </c>
      <c r="B13" s="360" t="s">
        <v>1244</v>
      </c>
      <c r="C13" s="376">
        <v>1665</v>
      </c>
      <c r="D13" s="114" t="s">
        <v>707</v>
      </c>
    </row>
    <row r="14" spans="1:4">
      <c r="A14" s="357" t="s">
        <v>449</v>
      </c>
      <c r="B14" s="363" t="s">
        <v>448</v>
      </c>
      <c r="C14" s="375">
        <v>470</v>
      </c>
      <c r="D14" s="114" t="s">
        <v>648</v>
      </c>
    </row>
    <row r="15" spans="1:4">
      <c r="A15" s="359" t="s">
        <v>451</v>
      </c>
      <c r="B15" s="360" t="s">
        <v>450</v>
      </c>
      <c r="C15" s="376">
        <v>470</v>
      </c>
      <c r="D15" s="114" t="s">
        <v>649</v>
      </c>
    </row>
    <row r="16" spans="1:4">
      <c r="A16" s="357" t="s">
        <v>452</v>
      </c>
      <c r="B16" s="358" t="s">
        <v>453</v>
      </c>
      <c r="C16" s="375">
        <v>470</v>
      </c>
      <c r="D16" s="114" t="s">
        <v>649</v>
      </c>
    </row>
    <row r="17" spans="1:7">
      <c r="A17" s="359" t="s">
        <v>704</v>
      </c>
      <c r="B17" s="360" t="s">
        <v>454</v>
      </c>
      <c r="C17" s="376">
        <v>780</v>
      </c>
      <c r="D17" s="114" t="s">
        <v>650</v>
      </c>
    </row>
    <row r="18" spans="1:7">
      <c r="A18" s="357" t="s">
        <v>455</v>
      </c>
      <c r="B18" s="358" t="s">
        <v>457</v>
      </c>
      <c r="C18" s="375">
        <v>780</v>
      </c>
      <c r="D18" s="114" t="s">
        <v>651</v>
      </c>
    </row>
    <row r="19" spans="1:7">
      <c r="A19" s="359" t="s">
        <v>456</v>
      </c>
      <c r="B19" s="360" t="s">
        <v>458</v>
      </c>
      <c r="C19" s="376">
        <v>780</v>
      </c>
      <c r="D19" s="114" t="s">
        <v>651</v>
      </c>
    </row>
    <row r="20" spans="1:7">
      <c r="A20" s="359" t="s">
        <v>595</v>
      </c>
      <c r="B20" s="360" t="s">
        <v>596</v>
      </c>
      <c r="C20" s="376">
        <v>1628</v>
      </c>
      <c r="D20" s="114" t="s">
        <v>647</v>
      </c>
    </row>
    <row r="21" spans="1:7">
      <c r="A21" s="359" t="s">
        <v>598</v>
      </c>
      <c r="B21" s="360" t="s">
        <v>597</v>
      </c>
      <c r="C21" s="376">
        <v>1628</v>
      </c>
      <c r="D21" s="114" t="s">
        <v>647</v>
      </c>
    </row>
    <row r="22" spans="1:7">
      <c r="A22" s="359" t="s">
        <v>599</v>
      </c>
      <c r="B22" s="360" t="s">
        <v>600</v>
      </c>
      <c r="C22" s="376">
        <v>1628</v>
      </c>
      <c r="D22" s="114" t="s">
        <v>647</v>
      </c>
    </row>
    <row r="23" spans="1:7">
      <c r="A23" s="357" t="s">
        <v>435</v>
      </c>
      <c r="B23" s="358" t="s">
        <v>459</v>
      </c>
      <c r="C23" s="375">
        <v>814</v>
      </c>
      <c r="D23" s="114" t="s">
        <v>652</v>
      </c>
    </row>
    <row r="24" spans="1:7">
      <c r="A24" s="359" t="s">
        <v>460</v>
      </c>
      <c r="B24" s="360" t="s">
        <v>461</v>
      </c>
      <c r="C24" s="376">
        <v>814</v>
      </c>
      <c r="D24" s="114" t="s">
        <v>653</v>
      </c>
    </row>
    <row r="25" spans="1:7">
      <c r="A25" s="357" t="s">
        <v>462</v>
      </c>
      <c r="B25" s="358" t="s">
        <v>463</v>
      </c>
      <c r="C25" s="375">
        <v>814</v>
      </c>
      <c r="D25" s="114" t="s">
        <v>652</v>
      </c>
    </row>
    <row r="26" spans="1:7">
      <c r="A26" s="357" t="s">
        <v>436</v>
      </c>
      <c r="B26" s="358" t="s">
        <v>464</v>
      </c>
      <c r="C26" s="375">
        <v>1040</v>
      </c>
      <c r="D26" s="114" t="s">
        <v>654</v>
      </c>
    </row>
    <row r="27" spans="1:7">
      <c r="A27" s="359" t="s">
        <v>705</v>
      </c>
      <c r="B27" s="360" t="s">
        <v>465</v>
      </c>
      <c r="C27" s="376">
        <v>1040</v>
      </c>
      <c r="D27" s="114" t="s">
        <v>654</v>
      </c>
    </row>
    <row r="28" spans="1:7">
      <c r="A28" s="357" t="s">
        <v>466</v>
      </c>
      <c r="B28" s="358" t="s">
        <v>467</v>
      </c>
      <c r="C28" s="375">
        <v>1040</v>
      </c>
      <c r="D28" s="114" t="s">
        <v>654</v>
      </c>
    </row>
    <row r="29" spans="1:7">
      <c r="A29" s="359" t="s">
        <v>468</v>
      </c>
      <c r="B29" s="360" t="s">
        <v>511</v>
      </c>
      <c r="C29" s="376">
        <v>690</v>
      </c>
      <c r="D29" s="114" t="s">
        <v>655</v>
      </c>
    </row>
    <row r="30" spans="1:7">
      <c r="A30" s="357" t="s">
        <v>469</v>
      </c>
      <c r="B30" s="358" t="s">
        <v>470</v>
      </c>
      <c r="C30" s="375">
        <v>690</v>
      </c>
      <c r="D30" s="114" t="s">
        <v>655</v>
      </c>
    </row>
    <row r="31" spans="1:7">
      <c r="A31" s="359" t="s">
        <v>471</v>
      </c>
      <c r="B31" s="360" t="s">
        <v>472</v>
      </c>
      <c r="C31" s="376">
        <v>690</v>
      </c>
      <c r="D31" s="114" t="s">
        <v>655</v>
      </c>
      <c r="G31">
        <v>115270</v>
      </c>
    </row>
    <row r="32" spans="1:7">
      <c r="A32" s="357" t="s">
        <v>473</v>
      </c>
      <c r="B32" s="358" t="s">
        <v>474</v>
      </c>
      <c r="C32" s="375">
        <v>740</v>
      </c>
      <c r="D32" s="114" t="s">
        <v>656</v>
      </c>
    </row>
    <row r="33" spans="1:4">
      <c r="A33" s="359" t="s">
        <v>475</v>
      </c>
      <c r="B33" s="360" t="s">
        <v>476</v>
      </c>
      <c r="C33" s="376">
        <v>740</v>
      </c>
      <c r="D33" s="114" t="s">
        <v>656</v>
      </c>
    </row>
    <row r="34" spans="1:4">
      <c r="A34" s="357" t="s">
        <v>477</v>
      </c>
      <c r="B34" s="358" t="s">
        <v>478</v>
      </c>
      <c r="C34" s="375">
        <v>740</v>
      </c>
      <c r="D34" s="114" t="s">
        <v>656</v>
      </c>
    </row>
    <row r="35" spans="1:4">
      <c r="A35" s="359" t="s">
        <v>479</v>
      </c>
      <c r="B35" s="360" t="s">
        <v>480</v>
      </c>
      <c r="C35" s="376">
        <v>710</v>
      </c>
      <c r="D35" s="114" t="s">
        <v>657</v>
      </c>
    </row>
    <row r="36" spans="1:4">
      <c r="A36" s="357" t="s">
        <v>482</v>
      </c>
      <c r="B36" s="358" t="s">
        <v>481</v>
      </c>
      <c r="C36" s="375">
        <v>710</v>
      </c>
      <c r="D36" s="114" t="s">
        <v>657</v>
      </c>
    </row>
    <row r="37" spans="1:4">
      <c r="A37" s="359" t="s">
        <v>483</v>
      </c>
      <c r="B37" s="360" t="s">
        <v>484</v>
      </c>
      <c r="C37" s="376">
        <v>500</v>
      </c>
      <c r="D37" s="114" t="s">
        <v>658</v>
      </c>
    </row>
    <row r="38" spans="1:4">
      <c r="A38" s="357" t="s">
        <v>486</v>
      </c>
      <c r="B38" s="358" t="s">
        <v>485</v>
      </c>
      <c r="C38" s="375">
        <v>500</v>
      </c>
      <c r="D38" s="114" t="s">
        <v>658</v>
      </c>
    </row>
    <row r="39" spans="1:4">
      <c r="A39" s="359" t="s">
        <v>488</v>
      </c>
      <c r="B39" s="360" t="s">
        <v>487</v>
      </c>
      <c r="C39" s="376">
        <v>500</v>
      </c>
      <c r="D39" s="114" t="s">
        <v>658</v>
      </c>
    </row>
    <row r="40" spans="1:4">
      <c r="A40" s="359" t="s">
        <v>515</v>
      </c>
      <c r="B40" s="360" t="s">
        <v>1245</v>
      </c>
      <c r="C40" s="376">
        <v>3079</v>
      </c>
      <c r="D40" s="114" t="s">
        <v>659</v>
      </c>
    </row>
    <row r="41" spans="1:4">
      <c r="A41" s="359" t="s">
        <v>516</v>
      </c>
      <c r="B41" s="360" t="s">
        <v>1246</v>
      </c>
      <c r="C41" s="376">
        <v>2832</v>
      </c>
      <c r="D41" s="114" t="s">
        <v>660</v>
      </c>
    </row>
    <row r="42" spans="1:4">
      <c r="A42" s="359" t="s">
        <v>517</v>
      </c>
      <c r="B42" s="360" t="s">
        <v>1247</v>
      </c>
      <c r="C42" s="376">
        <v>3079</v>
      </c>
      <c r="D42" s="114" t="s">
        <v>659</v>
      </c>
    </row>
    <row r="43" spans="1:4">
      <c r="A43" s="359" t="s">
        <v>518</v>
      </c>
      <c r="B43" s="360" t="s">
        <v>1248</v>
      </c>
      <c r="C43" s="376">
        <v>2832</v>
      </c>
      <c r="D43" s="114" t="s">
        <v>660</v>
      </c>
    </row>
    <row r="44" spans="1:4">
      <c r="A44" s="359" t="s">
        <v>519</v>
      </c>
      <c r="B44" s="360" t="s">
        <v>1249</v>
      </c>
      <c r="C44" s="376">
        <v>3079</v>
      </c>
      <c r="D44" s="114" t="s">
        <v>659</v>
      </c>
    </row>
    <row r="45" spans="1:4">
      <c r="A45" s="359" t="s">
        <v>520</v>
      </c>
      <c r="B45" s="360" t="s">
        <v>1250</v>
      </c>
      <c r="C45" s="376">
        <v>2832</v>
      </c>
      <c r="D45" s="114" t="s">
        <v>660</v>
      </c>
    </row>
    <row r="46" spans="1:4">
      <c r="A46" s="359" t="s">
        <v>571</v>
      </c>
      <c r="B46" s="360" t="s">
        <v>577</v>
      </c>
      <c r="C46" s="376">
        <v>3243</v>
      </c>
      <c r="D46" s="114" t="s">
        <v>661</v>
      </c>
    </row>
    <row r="47" spans="1:4">
      <c r="A47" s="359" t="s">
        <v>573</v>
      </c>
      <c r="B47" s="360" t="s">
        <v>572</v>
      </c>
      <c r="C47" s="376">
        <v>3243</v>
      </c>
      <c r="D47" s="114" t="s">
        <v>661</v>
      </c>
    </row>
    <row r="48" spans="1:4">
      <c r="A48" s="366" t="s">
        <v>574</v>
      </c>
      <c r="B48" s="360" t="s">
        <v>576</v>
      </c>
      <c r="C48" s="376">
        <v>3243</v>
      </c>
      <c r="D48" s="114" t="s">
        <v>661</v>
      </c>
    </row>
    <row r="49" spans="1:4">
      <c r="A49" s="366" t="s">
        <v>578</v>
      </c>
      <c r="B49" s="360" t="s">
        <v>575</v>
      </c>
      <c r="C49" s="376">
        <v>3243</v>
      </c>
      <c r="D49" s="114" t="s">
        <v>661</v>
      </c>
    </row>
    <row r="50" spans="1:4">
      <c r="A50" s="359" t="s">
        <v>579</v>
      </c>
      <c r="B50" s="360" t="s">
        <v>580</v>
      </c>
      <c r="C50" s="376">
        <v>3243</v>
      </c>
      <c r="D50" s="114" t="s">
        <v>661</v>
      </c>
    </row>
    <row r="51" spans="1:4">
      <c r="A51" s="359" t="s">
        <v>581</v>
      </c>
      <c r="B51" s="360" t="s">
        <v>582</v>
      </c>
      <c r="C51" s="376">
        <v>3243</v>
      </c>
      <c r="D51" s="114" t="s">
        <v>662</v>
      </c>
    </row>
    <row r="52" spans="1:4">
      <c r="A52" s="359" t="s">
        <v>583</v>
      </c>
      <c r="B52" s="360" t="s">
        <v>584</v>
      </c>
      <c r="C52" s="377">
        <v>1763</v>
      </c>
      <c r="D52" s="114" t="s">
        <v>663</v>
      </c>
    </row>
    <row r="53" spans="1:4">
      <c r="A53" s="359" t="s">
        <v>585</v>
      </c>
      <c r="B53" s="360" t="s">
        <v>586</v>
      </c>
      <c r="C53" s="376">
        <v>1763</v>
      </c>
      <c r="D53" s="114" t="s">
        <v>663</v>
      </c>
    </row>
    <row r="54" spans="1:4">
      <c r="A54" s="359" t="s">
        <v>587</v>
      </c>
      <c r="B54" s="360" t="s">
        <v>588</v>
      </c>
      <c r="C54" s="376">
        <v>6016</v>
      </c>
      <c r="D54" s="114" t="s">
        <v>664</v>
      </c>
    </row>
    <row r="55" spans="1:4">
      <c r="A55" s="359" t="s">
        <v>589</v>
      </c>
      <c r="B55" s="360" t="s">
        <v>590</v>
      </c>
      <c r="C55" s="376">
        <v>6016</v>
      </c>
      <c r="D55" s="114" t="s">
        <v>664</v>
      </c>
    </row>
    <row r="56" spans="1:4">
      <c r="A56" s="359" t="s">
        <v>593</v>
      </c>
      <c r="B56" s="360" t="s">
        <v>594</v>
      </c>
      <c r="C56" s="376">
        <v>3290</v>
      </c>
      <c r="D56" s="114" t="s">
        <v>665</v>
      </c>
    </row>
    <row r="57" spans="1:4">
      <c r="A57" s="359" t="s">
        <v>591</v>
      </c>
      <c r="B57" s="360" t="s">
        <v>592</v>
      </c>
      <c r="C57" s="376">
        <v>3290</v>
      </c>
      <c r="D57" s="114" t="s">
        <v>665</v>
      </c>
    </row>
    <row r="58" spans="1:4">
      <c r="A58" s="359" t="s">
        <v>606</v>
      </c>
      <c r="B58" s="360" t="s">
        <v>607</v>
      </c>
      <c r="C58" s="377">
        <v>6016</v>
      </c>
      <c r="D58" s="114" t="s">
        <v>664</v>
      </c>
    </row>
    <row r="59" spans="1:4">
      <c r="A59" s="366" t="s">
        <v>605</v>
      </c>
      <c r="B59" s="360" t="s">
        <v>608</v>
      </c>
      <c r="C59" s="377">
        <v>6016</v>
      </c>
      <c r="D59" s="114" t="s">
        <v>664</v>
      </c>
    </row>
    <row r="60" spans="1:4">
      <c r="A60" s="366" t="s">
        <v>609</v>
      </c>
      <c r="B60" s="360" t="s">
        <v>1229</v>
      </c>
      <c r="C60" s="377">
        <v>9400</v>
      </c>
      <c r="D60" s="114" t="s">
        <v>666</v>
      </c>
    </row>
    <row r="61" spans="1:4">
      <c r="A61" s="366" t="s">
        <v>610</v>
      </c>
      <c r="B61" s="360" t="s">
        <v>858</v>
      </c>
      <c r="C61" s="377">
        <v>9400</v>
      </c>
      <c r="D61" s="114" t="s">
        <v>666</v>
      </c>
    </row>
    <row r="62" spans="1:4">
      <c r="A62" s="366" t="s">
        <v>611</v>
      </c>
      <c r="B62" s="360" t="s">
        <v>885</v>
      </c>
      <c r="C62" s="377">
        <v>5029</v>
      </c>
      <c r="D62" s="114" t="s">
        <v>667</v>
      </c>
    </row>
    <row r="63" spans="1:4">
      <c r="A63" s="366" t="s">
        <v>612</v>
      </c>
      <c r="B63" s="360" t="s">
        <v>674</v>
      </c>
      <c r="C63" s="377">
        <v>5029</v>
      </c>
      <c r="D63" s="114" t="s">
        <v>667</v>
      </c>
    </row>
    <row r="64" spans="1:4">
      <c r="A64" s="366" t="s">
        <v>615</v>
      </c>
      <c r="B64" s="360" t="s">
        <v>618</v>
      </c>
      <c r="C64" s="377">
        <v>564</v>
      </c>
      <c r="D64" s="114" t="s">
        <v>668</v>
      </c>
    </row>
    <row r="65" spans="1:4">
      <c r="A65" s="366" t="s">
        <v>617</v>
      </c>
      <c r="B65" s="360" t="s">
        <v>616</v>
      </c>
      <c r="C65" s="377">
        <v>564</v>
      </c>
      <c r="D65" s="114" t="s">
        <v>668</v>
      </c>
    </row>
    <row r="66" spans="1:4">
      <c r="A66" s="359" t="s">
        <v>602</v>
      </c>
      <c r="B66" s="360" t="s">
        <v>601</v>
      </c>
      <c r="C66" s="376">
        <v>259</v>
      </c>
      <c r="D66" s="114" t="s">
        <v>671</v>
      </c>
    </row>
    <row r="67" spans="1:4">
      <c r="A67" s="359" t="s">
        <v>603</v>
      </c>
      <c r="B67" s="360" t="s">
        <v>604</v>
      </c>
      <c r="C67" s="377">
        <v>315</v>
      </c>
      <c r="D67" s="114" t="s">
        <v>672</v>
      </c>
    </row>
    <row r="68" spans="1:4">
      <c r="A68" s="359" t="s">
        <v>613</v>
      </c>
      <c r="B68" s="360" t="s">
        <v>614</v>
      </c>
      <c r="C68" s="377">
        <v>150</v>
      </c>
      <c r="D68" s="114" t="s">
        <v>673</v>
      </c>
    </row>
    <row r="69" spans="1:4">
      <c r="A69" s="359" t="s">
        <v>623</v>
      </c>
      <c r="B69" s="360" t="s">
        <v>624</v>
      </c>
      <c r="C69" s="377">
        <v>21479</v>
      </c>
      <c r="D69" s="114" t="s">
        <v>669</v>
      </c>
    </row>
    <row r="70" spans="1:4">
      <c r="A70" s="359" t="s">
        <v>625</v>
      </c>
      <c r="B70" s="360" t="s">
        <v>626</v>
      </c>
      <c r="C70" s="377">
        <v>21479</v>
      </c>
      <c r="D70" s="114" t="s">
        <v>669</v>
      </c>
    </row>
    <row r="71" spans="1:4">
      <c r="A71" s="359" t="s">
        <v>628</v>
      </c>
      <c r="B71" s="360" t="s">
        <v>627</v>
      </c>
      <c r="C71" s="377">
        <v>21479</v>
      </c>
      <c r="D71" s="114" t="s">
        <v>669</v>
      </c>
    </row>
    <row r="72" spans="1:4">
      <c r="A72" s="359" t="s">
        <v>629</v>
      </c>
      <c r="B72" s="360" t="s">
        <v>631</v>
      </c>
      <c r="C72" s="377">
        <v>21479</v>
      </c>
      <c r="D72" s="114" t="s">
        <v>669</v>
      </c>
    </row>
    <row r="73" spans="1:4">
      <c r="A73" s="359" t="s">
        <v>630</v>
      </c>
      <c r="B73" s="360" t="s">
        <v>632</v>
      </c>
      <c r="C73" s="377">
        <v>21479</v>
      </c>
      <c r="D73" s="114" t="s">
        <v>669</v>
      </c>
    </row>
    <row r="74" spans="1:4">
      <c r="A74" s="359" t="s">
        <v>622</v>
      </c>
      <c r="B74" s="360" t="s">
        <v>633</v>
      </c>
      <c r="C74" s="377">
        <v>21479</v>
      </c>
      <c r="D74" s="114" t="s">
        <v>669</v>
      </c>
    </row>
    <row r="75" spans="1:4">
      <c r="A75" s="359" t="s">
        <v>634</v>
      </c>
      <c r="B75" s="360" t="s">
        <v>640</v>
      </c>
      <c r="C75" s="377">
        <v>5358</v>
      </c>
      <c r="D75" s="114" t="s">
        <v>670</v>
      </c>
    </row>
    <row r="76" spans="1:4">
      <c r="A76" s="359" t="s">
        <v>635</v>
      </c>
      <c r="B76" s="360" t="s">
        <v>641</v>
      </c>
      <c r="C76" s="366">
        <v>5358</v>
      </c>
      <c r="D76" s="114" t="s">
        <v>670</v>
      </c>
    </row>
    <row r="77" spans="1:4">
      <c r="A77" s="359" t="s">
        <v>636</v>
      </c>
      <c r="B77" s="360" t="s">
        <v>642</v>
      </c>
      <c r="C77" s="366">
        <v>5358</v>
      </c>
      <c r="D77" s="114" t="s">
        <v>670</v>
      </c>
    </row>
    <row r="78" spans="1:4">
      <c r="A78" s="359" t="s">
        <v>637</v>
      </c>
      <c r="B78" s="360" t="s">
        <v>643</v>
      </c>
      <c r="C78" s="366">
        <v>5358</v>
      </c>
      <c r="D78" s="114" t="s">
        <v>670</v>
      </c>
    </row>
    <row r="79" spans="1:4">
      <c r="A79" s="359" t="s">
        <v>638</v>
      </c>
      <c r="B79" s="360" t="s">
        <v>644</v>
      </c>
      <c r="C79" s="366">
        <v>5358</v>
      </c>
      <c r="D79" s="114" t="s">
        <v>670</v>
      </c>
    </row>
    <row r="80" spans="1:4">
      <c r="A80" s="359" t="s">
        <v>639</v>
      </c>
      <c r="B80" s="360" t="s">
        <v>645</v>
      </c>
      <c r="C80" s="366">
        <v>5358</v>
      </c>
      <c r="D80" s="114" t="s">
        <v>670</v>
      </c>
    </row>
    <row r="81" spans="1:4">
      <c r="A81" s="359" t="s">
        <v>685</v>
      </c>
      <c r="B81" s="360" t="s">
        <v>687</v>
      </c>
      <c r="C81" s="366">
        <v>2340</v>
      </c>
      <c r="D81" s="114" t="s">
        <v>688</v>
      </c>
    </row>
    <row r="82" spans="1:4">
      <c r="A82" s="359" t="s">
        <v>684</v>
      </c>
      <c r="B82" s="360" t="s">
        <v>689</v>
      </c>
      <c r="C82" s="366">
        <v>2340</v>
      </c>
      <c r="D82" s="114" t="s">
        <v>688</v>
      </c>
    </row>
    <row r="83" spans="1:4">
      <c r="A83" s="359" t="s">
        <v>686</v>
      </c>
      <c r="B83" s="360" t="s">
        <v>690</v>
      </c>
      <c r="C83" s="366">
        <v>2340</v>
      </c>
      <c r="D83" s="114" t="s">
        <v>688</v>
      </c>
    </row>
    <row r="84" spans="1:4">
      <c r="A84" s="359" t="s">
        <v>691</v>
      </c>
      <c r="B84" s="360" t="s">
        <v>697</v>
      </c>
      <c r="C84" s="366">
        <v>1040</v>
      </c>
      <c r="D84" s="114" t="s">
        <v>654</v>
      </c>
    </row>
    <row r="85" spans="1:4">
      <c r="A85" s="359" t="s">
        <v>692</v>
      </c>
      <c r="B85" s="360" t="s">
        <v>698</v>
      </c>
      <c r="C85" s="366">
        <v>1040</v>
      </c>
      <c r="D85" s="114" t="s">
        <v>654</v>
      </c>
    </row>
    <row r="86" spans="1:4">
      <c r="A86" s="359" t="s">
        <v>693</v>
      </c>
      <c r="B86" s="360" t="s">
        <v>699</v>
      </c>
      <c r="C86" s="366">
        <v>1040</v>
      </c>
      <c r="D86" s="114" t="s">
        <v>654</v>
      </c>
    </row>
    <row r="87" spans="1:4">
      <c r="A87" s="359" t="s">
        <v>694</v>
      </c>
      <c r="B87" s="360" t="s">
        <v>700</v>
      </c>
      <c r="C87" s="366">
        <v>1710</v>
      </c>
      <c r="D87" s="114" t="s">
        <v>701</v>
      </c>
    </row>
    <row r="88" spans="1:4">
      <c r="A88" s="359" t="s">
        <v>695</v>
      </c>
      <c r="B88" s="360" t="s">
        <v>702</v>
      </c>
      <c r="C88" s="366">
        <v>1710</v>
      </c>
      <c r="D88" s="114" t="s">
        <v>701</v>
      </c>
    </row>
    <row r="89" spans="1:4">
      <c r="A89" s="359" t="s">
        <v>696</v>
      </c>
      <c r="B89" s="360" t="s">
        <v>703</v>
      </c>
      <c r="C89" s="366">
        <v>1710</v>
      </c>
      <c r="D89" s="114" t="s">
        <v>701</v>
      </c>
    </row>
    <row r="90" spans="1:4">
      <c r="A90" s="359" t="s">
        <v>708</v>
      </c>
      <c r="B90" s="360" t="s">
        <v>710</v>
      </c>
      <c r="C90" s="366">
        <v>7614</v>
      </c>
      <c r="D90" s="114" t="s">
        <v>712</v>
      </c>
    </row>
    <row r="91" spans="1:4">
      <c r="A91" s="359" t="s">
        <v>709</v>
      </c>
      <c r="B91" s="360" t="s">
        <v>711</v>
      </c>
      <c r="C91" s="366">
        <v>7614</v>
      </c>
      <c r="D91" s="114" t="s">
        <v>712</v>
      </c>
    </row>
    <row r="92" spans="1:4">
      <c r="A92" s="359" t="s">
        <v>713</v>
      </c>
      <c r="B92" s="360" t="s">
        <v>725</v>
      </c>
      <c r="C92" s="366">
        <v>2410</v>
      </c>
      <c r="D92" s="114" t="s">
        <v>728</v>
      </c>
    </row>
    <row r="93" spans="1:4">
      <c r="A93" s="359" t="s">
        <v>714</v>
      </c>
      <c r="B93" s="360" t="s">
        <v>726</v>
      </c>
      <c r="C93" s="366">
        <v>2410</v>
      </c>
      <c r="D93" s="114" t="s">
        <v>728</v>
      </c>
    </row>
    <row r="94" spans="1:4">
      <c r="A94" s="359" t="s">
        <v>715</v>
      </c>
      <c r="B94" s="360" t="s">
        <v>727</v>
      </c>
      <c r="C94" s="366">
        <v>2410</v>
      </c>
      <c r="D94" s="114" t="s">
        <v>728</v>
      </c>
    </row>
    <row r="95" spans="1:4">
      <c r="A95" s="359" t="s">
        <v>716</v>
      </c>
      <c r="B95" s="360" t="s">
        <v>729</v>
      </c>
      <c r="C95" s="366">
        <v>2710</v>
      </c>
      <c r="D95" s="114" t="s">
        <v>732</v>
      </c>
    </row>
    <row r="96" spans="1:4">
      <c r="A96" s="359" t="s">
        <v>717</v>
      </c>
      <c r="B96" s="360" t="s">
        <v>730</v>
      </c>
      <c r="C96" s="366">
        <v>2710</v>
      </c>
      <c r="D96" s="114" t="s">
        <v>732</v>
      </c>
    </row>
    <row r="97" spans="1:4">
      <c r="A97" s="359" t="s">
        <v>718</v>
      </c>
      <c r="B97" s="360" t="s">
        <v>731</v>
      </c>
      <c r="C97" s="366">
        <v>2710</v>
      </c>
      <c r="D97" s="114" t="s">
        <v>732</v>
      </c>
    </row>
    <row r="98" spans="1:4">
      <c r="A98" s="359" t="s">
        <v>719</v>
      </c>
      <c r="B98" s="360" t="s">
        <v>733</v>
      </c>
      <c r="C98" s="366">
        <v>2740</v>
      </c>
      <c r="D98" s="114" t="s">
        <v>736</v>
      </c>
    </row>
    <row r="99" spans="1:4">
      <c r="A99" s="359" t="s">
        <v>720</v>
      </c>
      <c r="B99" s="360" t="s">
        <v>734</v>
      </c>
      <c r="C99" s="366">
        <v>2740</v>
      </c>
      <c r="D99" s="114" t="s">
        <v>736</v>
      </c>
    </row>
    <row r="100" spans="1:4">
      <c r="A100" s="359" t="s">
        <v>721</v>
      </c>
      <c r="B100" s="360" t="s">
        <v>735</v>
      </c>
      <c r="C100" s="366">
        <v>2740</v>
      </c>
      <c r="D100" s="114" t="s">
        <v>736</v>
      </c>
    </row>
    <row r="101" spans="1:4">
      <c r="A101" s="359" t="s">
        <v>722</v>
      </c>
      <c r="B101" s="360" t="s">
        <v>737</v>
      </c>
      <c r="C101" s="366">
        <v>2960</v>
      </c>
      <c r="D101" s="114" t="s">
        <v>738</v>
      </c>
    </row>
    <row r="102" spans="1:4">
      <c r="A102" s="359" t="s">
        <v>723</v>
      </c>
      <c r="B102" s="360" t="s">
        <v>739</v>
      </c>
      <c r="C102" s="366">
        <v>2960</v>
      </c>
      <c r="D102" s="114" t="s">
        <v>738</v>
      </c>
    </row>
    <row r="103" spans="1:4">
      <c r="A103" s="359" t="s">
        <v>724</v>
      </c>
      <c r="B103" s="360" t="s">
        <v>740</v>
      </c>
      <c r="C103" s="366">
        <v>2960</v>
      </c>
      <c r="D103" s="114" t="s">
        <v>738</v>
      </c>
    </row>
    <row r="104" spans="1:4">
      <c r="A104" s="359" t="s">
        <v>741</v>
      </c>
      <c r="B104" s="360" t="s">
        <v>742</v>
      </c>
      <c r="C104" s="366">
        <v>820</v>
      </c>
      <c r="D104" s="114" t="s">
        <v>743</v>
      </c>
    </row>
    <row r="105" spans="1:4">
      <c r="A105" s="359" t="s">
        <v>744</v>
      </c>
      <c r="B105" s="360" t="s">
        <v>745</v>
      </c>
      <c r="C105" s="366">
        <v>820</v>
      </c>
      <c r="D105" s="114" t="s">
        <v>743</v>
      </c>
    </row>
    <row r="106" spans="1:4">
      <c r="A106" s="359" t="s">
        <v>746</v>
      </c>
      <c r="B106" s="360" t="s">
        <v>747</v>
      </c>
      <c r="C106" s="366">
        <v>820</v>
      </c>
      <c r="D106" s="114" t="s">
        <v>743</v>
      </c>
    </row>
    <row r="107" spans="1:4">
      <c r="A107" s="391" t="s">
        <v>763</v>
      </c>
      <c r="B107" s="360" t="s">
        <v>764</v>
      </c>
      <c r="C107" s="366">
        <v>1260</v>
      </c>
      <c r="D107" s="114" t="s">
        <v>765</v>
      </c>
    </row>
    <row r="108" spans="1:4">
      <c r="A108" s="359" t="s">
        <v>766</v>
      </c>
      <c r="B108" s="43" t="s">
        <v>767</v>
      </c>
      <c r="C108" s="366">
        <v>2444</v>
      </c>
      <c r="D108" s="114" t="s">
        <v>768</v>
      </c>
    </row>
    <row r="109" spans="1:4">
      <c r="A109" s="359" t="s">
        <v>769</v>
      </c>
      <c r="B109" s="43" t="s">
        <v>770</v>
      </c>
      <c r="C109" s="366">
        <v>2444</v>
      </c>
      <c r="D109" s="114" t="s">
        <v>768</v>
      </c>
    </row>
    <row r="110" spans="1:4">
      <c r="A110" s="359" t="s">
        <v>771</v>
      </c>
      <c r="B110" s="43" t="s">
        <v>772</v>
      </c>
      <c r="C110" s="366">
        <v>2444</v>
      </c>
      <c r="D110" s="114" t="s">
        <v>768</v>
      </c>
    </row>
    <row r="111" spans="1:4">
      <c r="A111" s="359" t="s">
        <v>773</v>
      </c>
      <c r="B111" s="43" t="s">
        <v>774</v>
      </c>
      <c r="C111" s="366">
        <v>3290</v>
      </c>
      <c r="D111" s="114" t="s">
        <v>665</v>
      </c>
    </row>
    <row r="112" spans="1:4">
      <c r="A112" s="359" t="s">
        <v>775</v>
      </c>
      <c r="B112" s="43" t="s">
        <v>776</v>
      </c>
      <c r="C112" s="366">
        <v>3290</v>
      </c>
      <c r="D112" s="114" t="s">
        <v>665</v>
      </c>
    </row>
    <row r="113" spans="1:4">
      <c r="A113" s="359" t="s">
        <v>779</v>
      </c>
      <c r="B113" s="360" t="s">
        <v>781</v>
      </c>
      <c r="C113" s="366">
        <v>1260</v>
      </c>
      <c r="D113" s="114" t="s">
        <v>765</v>
      </c>
    </row>
    <row r="114" spans="1:4">
      <c r="A114" s="374" t="s">
        <v>777</v>
      </c>
      <c r="B114" s="360" t="s">
        <v>778</v>
      </c>
      <c r="C114" s="366">
        <v>1260</v>
      </c>
      <c r="D114" s="114" t="s">
        <v>765</v>
      </c>
    </row>
    <row r="115" spans="1:4">
      <c r="A115" s="359" t="s">
        <v>780</v>
      </c>
      <c r="B115" s="360" t="s">
        <v>782</v>
      </c>
      <c r="C115" s="366">
        <v>1260</v>
      </c>
      <c r="D115" s="114" t="s">
        <v>765</v>
      </c>
    </row>
    <row r="116" spans="1:4">
      <c r="A116" s="359" t="s">
        <v>783</v>
      </c>
      <c r="B116" s="360" t="s">
        <v>787</v>
      </c>
      <c r="C116" s="366">
        <v>752</v>
      </c>
      <c r="D116" s="114" t="s">
        <v>785</v>
      </c>
    </row>
    <row r="117" spans="1:4">
      <c r="A117" s="359" t="s">
        <v>784</v>
      </c>
      <c r="B117" s="360" t="s">
        <v>786</v>
      </c>
      <c r="C117" s="366">
        <v>752</v>
      </c>
      <c r="D117" s="114" t="s">
        <v>785</v>
      </c>
    </row>
    <row r="118" spans="1:4">
      <c r="A118" s="359" t="s">
        <v>788</v>
      </c>
      <c r="B118" s="360" t="s">
        <v>789</v>
      </c>
      <c r="C118" s="366">
        <v>752</v>
      </c>
      <c r="D118" s="114" t="s">
        <v>790</v>
      </c>
    </row>
    <row r="119" spans="1:4">
      <c r="A119" s="359" t="s">
        <v>791</v>
      </c>
      <c r="B119" s="360" t="s">
        <v>792</v>
      </c>
      <c r="C119" s="366">
        <v>10199</v>
      </c>
      <c r="D119" s="114" t="s">
        <v>793</v>
      </c>
    </row>
    <row r="120" spans="1:4">
      <c r="A120" s="359" t="s">
        <v>794</v>
      </c>
      <c r="B120" s="360" t="s">
        <v>795</v>
      </c>
      <c r="C120" s="366">
        <v>10199</v>
      </c>
      <c r="D120" s="114" t="s">
        <v>793</v>
      </c>
    </row>
    <row r="121" spans="1:4">
      <c r="A121" s="392" t="s">
        <v>796</v>
      </c>
      <c r="B121" s="43" t="s">
        <v>802</v>
      </c>
      <c r="C121" s="398">
        <v>280</v>
      </c>
      <c r="D121" s="114" t="s">
        <v>808</v>
      </c>
    </row>
    <row r="122" spans="1:4">
      <c r="A122" s="397" t="s">
        <v>797</v>
      </c>
      <c r="B122" s="398" t="s">
        <v>803</v>
      </c>
      <c r="C122" s="398">
        <v>340</v>
      </c>
      <c r="D122" s="114" t="s">
        <v>809</v>
      </c>
    </row>
    <row r="123" spans="1:4">
      <c r="A123" s="392" t="s">
        <v>798</v>
      </c>
      <c r="B123" s="43" t="s">
        <v>804</v>
      </c>
      <c r="C123" s="398">
        <v>280</v>
      </c>
      <c r="D123" s="114" t="s">
        <v>808</v>
      </c>
    </row>
    <row r="124" spans="1:4">
      <c r="A124" s="392" t="s">
        <v>799</v>
      </c>
      <c r="B124" s="43" t="s">
        <v>805</v>
      </c>
      <c r="C124" s="398">
        <v>340</v>
      </c>
      <c r="D124" s="114" t="s">
        <v>809</v>
      </c>
    </row>
    <row r="125" spans="1:4">
      <c r="A125" s="392" t="s">
        <v>800</v>
      </c>
      <c r="B125" s="43" t="s">
        <v>806</v>
      </c>
      <c r="C125" s="398">
        <v>280</v>
      </c>
      <c r="D125" s="114" t="s">
        <v>808</v>
      </c>
    </row>
    <row r="126" spans="1:4">
      <c r="A126" s="392" t="s">
        <v>801</v>
      </c>
      <c r="B126" s="43" t="s">
        <v>807</v>
      </c>
      <c r="C126" s="398">
        <v>340</v>
      </c>
      <c r="D126" s="114" t="s">
        <v>809</v>
      </c>
    </row>
    <row r="127" spans="1:4">
      <c r="A127" s="359" t="s">
        <v>814</v>
      </c>
      <c r="B127" s="360" t="s">
        <v>1251</v>
      </c>
      <c r="C127" s="366">
        <v>3079</v>
      </c>
      <c r="D127" s="114" t="s">
        <v>820</v>
      </c>
    </row>
    <row r="128" spans="1:4">
      <c r="A128" s="359" t="s">
        <v>817</v>
      </c>
      <c r="B128" s="360" t="s">
        <v>1252</v>
      </c>
      <c r="C128" s="366">
        <v>2832</v>
      </c>
      <c r="D128" s="114" t="s">
        <v>815</v>
      </c>
    </row>
    <row r="129" spans="1:4">
      <c r="A129" s="359" t="s">
        <v>818</v>
      </c>
      <c r="B129" s="360" t="s">
        <v>1253</v>
      </c>
      <c r="C129" s="366">
        <v>2832</v>
      </c>
      <c r="D129" s="114" t="s">
        <v>816</v>
      </c>
    </row>
    <row r="130" spans="1:4">
      <c r="A130" s="359" t="s">
        <v>819</v>
      </c>
      <c r="B130" s="360" t="s">
        <v>1254</v>
      </c>
      <c r="C130" s="366">
        <v>2832</v>
      </c>
      <c r="D130" s="114" t="s">
        <v>816</v>
      </c>
    </row>
    <row r="131" spans="1:4">
      <c r="A131" s="359" t="s">
        <v>821</v>
      </c>
      <c r="B131" s="360" t="s">
        <v>1255</v>
      </c>
      <c r="C131" s="366">
        <v>3079</v>
      </c>
      <c r="D131" s="114" t="s">
        <v>820</v>
      </c>
    </row>
    <row r="132" spans="1:4">
      <c r="A132" s="359" t="s">
        <v>822</v>
      </c>
      <c r="B132" s="360" t="s">
        <v>1256</v>
      </c>
      <c r="C132" s="366">
        <v>3079</v>
      </c>
      <c r="D132" s="114" t="s">
        <v>820</v>
      </c>
    </row>
    <row r="133" spans="1:4">
      <c r="A133" s="359" t="s">
        <v>823</v>
      </c>
      <c r="B133" s="360" t="s">
        <v>826</v>
      </c>
      <c r="C133" s="366">
        <v>8084</v>
      </c>
      <c r="D133" s="114" t="s">
        <v>827</v>
      </c>
    </row>
    <row r="134" spans="1:4">
      <c r="A134" s="359" t="s">
        <v>824</v>
      </c>
      <c r="B134" s="360" t="s">
        <v>828</v>
      </c>
      <c r="C134" s="366">
        <v>7473</v>
      </c>
      <c r="D134" s="114" t="s">
        <v>829</v>
      </c>
    </row>
    <row r="135" spans="1:4">
      <c r="A135" s="359" t="s">
        <v>825</v>
      </c>
      <c r="B135" s="360" t="s">
        <v>830</v>
      </c>
      <c r="C135" s="366">
        <v>7708</v>
      </c>
      <c r="D135" s="114" t="s">
        <v>831</v>
      </c>
    </row>
    <row r="136" spans="1:4">
      <c r="A136" s="359" t="s">
        <v>835</v>
      </c>
      <c r="B136" s="360" t="s">
        <v>832</v>
      </c>
      <c r="C136" s="366">
        <v>13066</v>
      </c>
      <c r="D136" s="114" t="s">
        <v>833</v>
      </c>
    </row>
    <row r="137" spans="1:4">
      <c r="A137" s="359" t="s">
        <v>834</v>
      </c>
      <c r="B137" s="360" t="s">
        <v>836</v>
      </c>
      <c r="C137" s="366">
        <v>13724</v>
      </c>
      <c r="D137" s="114" t="s">
        <v>837</v>
      </c>
    </row>
    <row r="138" spans="1:4">
      <c r="A138" s="359" t="s">
        <v>838</v>
      </c>
      <c r="B138" s="360" t="s">
        <v>839</v>
      </c>
      <c r="C138" s="366">
        <v>385</v>
      </c>
      <c r="D138" s="114" t="s">
        <v>840</v>
      </c>
    </row>
    <row r="139" spans="1:4">
      <c r="A139" s="359" t="s">
        <v>841</v>
      </c>
      <c r="B139" s="360" t="s">
        <v>842</v>
      </c>
      <c r="C139" s="366">
        <v>13724</v>
      </c>
      <c r="D139" s="114" t="s">
        <v>845</v>
      </c>
    </row>
    <row r="140" spans="1:4">
      <c r="A140" s="359" t="s">
        <v>843</v>
      </c>
      <c r="B140" s="360" t="s">
        <v>844</v>
      </c>
      <c r="C140" s="366">
        <v>13724</v>
      </c>
      <c r="D140" s="114" t="s">
        <v>845</v>
      </c>
    </row>
    <row r="141" spans="1:4">
      <c r="A141" s="359" t="s">
        <v>846</v>
      </c>
      <c r="B141" s="360" t="s">
        <v>847</v>
      </c>
      <c r="C141" s="366">
        <v>12596</v>
      </c>
      <c r="D141" s="114" t="s">
        <v>848</v>
      </c>
    </row>
    <row r="142" spans="1:4">
      <c r="A142" s="359" t="s">
        <v>849</v>
      </c>
      <c r="B142" s="360" t="s">
        <v>850</v>
      </c>
      <c r="C142" s="366">
        <v>12596</v>
      </c>
      <c r="D142" s="114" t="s">
        <v>851</v>
      </c>
    </row>
    <row r="143" spans="1:4">
      <c r="A143" s="359" t="s">
        <v>852</v>
      </c>
      <c r="B143" s="360" t="s">
        <v>853</v>
      </c>
      <c r="C143" s="366">
        <v>3055</v>
      </c>
      <c r="D143" s="114" t="s">
        <v>856</v>
      </c>
    </row>
    <row r="144" spans="1:4">
      <c r="A144" s="359" t="s">
        <v>854</v>
      </c>
      <c r="B144" s="360" t="s">
        <v>855</v>
      </c>
      <c r="C144" s="366">
        <v>3055</v>
      </c>
      <c r="D144" s="114" t="s">
        <v>857</v>
      </c>
    </row>
    <row r="145" spans="1:4">
      <c r="A145" s="357" t="s">
        <v>869</v>
      </c>
      <c r="B145" s="358" t="s">
        <v>1257</v>
      </c>
      <c r="C145" s="375">
        <v>1536</v>
      </c>
      <c r="D145" s="114" t="s">
        <v>870</v>
      </c>
    </row>
    <row r="146" spans="1:4">
      <c r="A146" s="359" t="s">
        <v>871</v>
      </c>
      <c r="B146" s="360" t="s">
        <v>1258</v>
      </c>
      <c r="C146" s="376">
        <v>1536</v>
      </c>
      <c r="D146" s="114" t="s">
        <v>870</v>
      </c>
    </row>
    <row r="147" spans="1:4">
      <c r="A147" s="357" t="s">
        <v>872</v>
      </c>
      <c r="B147" s="358" t="s">
        <v>1259</v>
      </c>
      <c r="C147" s="376">
        <v>1536</v>
      </c>
      <c r="D147" s="114" t="s">
        <v>870</v>
      </c>
    </row>
    <row r="148" spans="1:4">
      <c r="A148" s="359" t="s">
        <v>873</v>
      </c>
      <c r="B148" s="360" t="s">
        <v>1260</v>
      </c>
      <c r="C148" s="376">
        <v>1536</v>
      </c>
      <c r="D148" s="114" t="s">
        <v>870</v>
      </c>
    </row>
    <row r="149" spans="1:4">
      <c r="A149" s="357" t="s">
        <v>874</v>
      </c>
      <c r="B149" s="358" t="s">
        <v>1261</v>
      </c>
      <c r="C149" s="376">
        <v>1536</v>
      </c>
      <c r="D149" s="114" t="s">
        <v>870</v>
      </c>
    </row>
    <row r="150" spans="1:4">
      <c r="A150" s="359" t="s">
        <v>875</v>
      </c>
      <c r="B150" s="360" t="s">
        <v>1262</v>
      </c>
      <c r="C150" s="376">
        <v>1536</v>
      </c>
      <c r="D150" s="114" t="s">
        <v>870</v>
      </c>
    </row>
    <row r="151" spans="1:4">
      <c r="A151" s="359" t="s">
        <v>876</v>
      </c>
      <c r="B151" s="360" t="s">
        <v>877</v>
      </c>
      <c r="C151" s="376">
        <v>780</v>
      </c>
      <c r="D151" s="114" t="s">
        <v>650</v>
      </c>
    </row>
    <row r="152" spans="1:4">
      <c r="A152" s="357" t="s">
        <v>878</v>
      </c>
      <c r="B152" s="358" t="s">
        <v>879</v>
      </c>
      <c r="C152" s="375">
        <v>780</v>
      </c>
      <c r="D152" s="114" t="s">
        <v>651</v>
      </c>
    </row>
    <row r="153" spans="1:4">
      <c r="A153" s="359" t="s">
        <v>880</v>
      </c>
      <c r="B153" s="360" t="s">
        <v>881</v>
      </c>
      <c r="C153" s="376">
        <v>780</v>
      </c>
      <c r="D153" s="114" t="s">
        <v>651</v>
      </c>
    </row>
    <row r="154" spans="1:4">
      <c r="A154" s="357" t="s">
        <v>907</v>
      </c>
      <c r="B154" s="399" t="s">
        <v>882</v>
      </c>
      <c r="C154" s="375">
        <v>470</v>
      </c>
      <c r="D154" s="114" t="s">
        <v>648</v>
      </c>
    </row>
    <row r="155" spans="1:4">
      <c r="A155" s="359" t="s">
        <v>908</v>
      </c>
      <c r="B155" s="360" t="s">
        <v>883</v>
      </c>
      <c r="C155" s="376">
        <v>470</v>
      </c>
      <c r="D155" s="114" t="s">
        <v>649</v>
      </c>
    </row>
    <row r="156" spans="1:4">
      <c r="A156" s="357" t="s">
        <v>909</v>
      </c>
      <c r="B156" s="358" t="s">
        <v>884</v>
      </c>
      <c r="C156" s="375">
        <v>470</v>
      </c>
      <c r="D156" s="114" t="s">
        <v>649</v>
      </c>
    </row>
    <row r="157" spans="1:4">
      <c r="A157" s="359" t="s">
        <v>886</v>
      </c>
      <c r="B157" s="360" t="s">
        <v>887</v>
      </c>
      <c r="C157" s="366">
        <v>2773</v>
      </c>
      <c r="D157" s="114" t="s">
        <v>888</v>
      </c>
    </row>
    <row r="158" spans="1:4">
      <c r="A158" s="359" t="s">
        <v>889</v>
      </c>
      <c r="B158" s="360" t="s">
        <v>890</v>
      </c>
      <c r="C158" s="366">
        <v>2773</v>
      </c>
      <c r="D158" s="114" t="s">
        <v>888</v>
      </c>
    </row>
    <row r="159" spans="1:4">
      <c r="A159" s="359" t="s">
        <v>891</v>
      </c>
      <c r="B159" s="360" t="s">
        <v>892</v>
      </c>
      <c r="C159" s="366">
        <v>3713</v>
      </c>
      <c r="D159" s="114" t="s">
        <v>893</v>
      </c>
    </row>
    <row r="160" spans="1:4">
      <c r="A160" s="359" t="s">
        <v>894</v>
      </c>
      <c r="B160" s="360" t="s">
        <v>895</v>
      </c>
      <c r="C160" s="366">
        <v>3713</v>
      </c>
      <c r="D160" s="114" t="s">
        <v>896</v>
      </c>
    </row>
    <row r="161" spans="1:4">
      <c r="A161" s="359" t="s">
        <v>897</v>
      </c>
      <c r="B161" s="360" t="s">
        <v>898</v>
      </c>
      <c r="C161" s="366">
        <v>6016</v>
      </c>
      <c r="D161" s="114" t="s">
        <v>899</v>
      </c>
    </row>
    <row r="162" spans="1:4">
      <c r="A162" s="359" t="s">
        <v>900</v>
      </c>
      <c r="B162" s="360" t="s">
        <v>901</v>
      </c>
      <c r="C162" s="366">
        <v>6016</v>
      </c>
      <c r="D162" s="114" t="s">
        <v>899</v>
      </c>
    </row>
    <row r="163" spans="1:4">
      <c r="A163" s="359" t="s">
        <v>902</v>
      </c>
      <c r="B163" s="360" t="s">
        <v>903</v>
      </c>
      <c r="C163" s="366">
        <v>5593</v>
      </c>
      <c r="D163" s="114" t="s">
        <v>904</v>
      </c>
    </row>
    <row r="164" spans="1:4">
      <c r="A164" s="359" t="s">
        <v>905</v>
      </c>
      <c r="B164" s="360" t="s">
        <v>906</v>
      </c>
      <c r="C164" s="366">
        <v>5593</v>
      </c>
      <c r="D164" s="114" t="s">
        <v>904</v>
      </c>
    </row>
    <row r="165" spans="1:4">
      <c r="A165" s="359" t="s">
        <v>910</v>
      </c>
      <c r="B165" s="360" t="s">
        <v>911</v>
      </c>
      <c r="C165" s="366">
        <v>814</v>
      </c>
      <c r="D165" s="114" t="s">
        <v>912</v>
      </c>
    </row>
    <row r="166" spans="1:4">
      <c r="A166" s="359" t="s">
        <v>913</v>
      </c>
      <c r="B166" s="360" t="s">
        <v>914</v>
      </c>
      <c r="C166" s="366">
        <v>814</v>
      </c>
      <c r="D166" s="114" t="s">
        <v>912</v>
      </c>
    </row>
    <row r="167" spans="1:4">
      <c r="A167" s="359" t="s">
        <v>915</v>
      </c>
      <c r="B167" s="360" t="s">
        <v>916</v>
      </c>
      <c r="C167" s="366">
        <v>814</v>
      </c>
      <c r="D167" s="114" t="s">
        <v>912</v>
      </c>
    </row>
    <row r="168" spans="1:4">
      <c r="A168" s="359" t="s">
        <v>917</v>
      </c>
      <c r="B168" s="360" t="s">
        <v>918</v>
      </c>
      <c r="C168" s="366">
        <v>2444</v>
      </c>
      <c r="D168" s="114" t="s">
        <v>919</v>
      </c>
    </row>
    <row r="169" spans="1:4">
      <c r="A169" s="359" t="s">
        <v>920</v>
      </c>
      <c r="B169" s="360" t="s">
        <v>921</v>
      </c>
      <c r="C169" s="366">
        <v>2444</v>
      </c>
      <c r="D169" s="114" t="s">
        <v>919</v>
      </c>
    </row>
    <row r="170" spans="1:4">
      <c r="A170" s="359" t="s">
        <v>923</v>
      </c>
      <c r="B170" s="360" t="s">
        <v>1263</v>
      </c>
      <c r="C170" s="375">
        <v>1685</v>
      </c>
      <c r="D170" s="114" t="s">
        <v>707</v>
      </c>
    </row>
    <row r="171" spans="1:4">
      <c r="A171" s="359" t="s">
        <v>924</v>
      </c>
      <c r="B171" s="360" t="s">
        <v>1263</v>
      </c>
      <c r="C171" s="375">
        <v>1685</v>
      </c>
      <c r="D171" s="114" t="s">
        <v>707</v>
      </c>
    </row>
    <row r="172" spans="1:4">
      <c r="A172" s="359" t="s">
        <v>934</v>
      </c>
      <c r="B172" s="360" t="s">
        <v>935</v>
      </c>
      <c r="C172" s="366">
        <v>4371</v>
      </c>
      <c r="D172" s="114" t="s">
        <v>936</v>
      </c>
    </row>
    <row r="173" spans="1:4">
      <c r="A173" s="359" t="s">
        <v>937</v>
      </c>
      <c r="B173" s="360" t="s">
        <v>938</v>
      </c>
      <c r="C173" s="366">
        <v>4371</v>
      </c>
      <c r="D173" s="114" t="s">
        <v>936</v>
      </c>
    </row>
    <row r="174" spans="1:4">
      <c r="A174" s="359" t="s">
        <v>988</v>
      </c>
      <c r="B174" s="360" t="s">
        <v>989</v>
      </c>
      <c r="C174" s="366">
        <v>962</v>
      </c>
      <c r="D174" s="114" t="s">
        <v>990</v>
      </c>
    </row>
    <row r="175" spans="1:4">
      <c r="A175" s="359" t="s">
        <v>991</v>
      </c>
      <c r="B175" s="360" t="s">
        <v>992</v>
      </c>
      <c r="C175" s="366">
        <v>962</v>
      </c>
      <c r="D175" s="114" t="s">
        <v>993</v>
      </c>
    </row>
    <row r="176" spans="1:4">
      <c r="A176" s="359" t="s">
        <v>994</v>
      </c>
      <c r="B176" s="360" t="s">
        <v>995</v>
      </c>
      <c r="C176" s="366">
        <v>962</v>
      </c>
      <c r="D176" s="114" t="s">
        <v>993</v>
      </c>
    </row>
    <row r="177" spans="1:4">
      <c r="A177" s="359" t="s">
        <v>996</v>
      </c>
      <c r="B177" s="360" t="s">
        <v>1264</v>
      </c>
      <c r="C177" s="366">
        <v>1342</v>
      </c>
      <c r="D177" s="114" t="s">
        <v>997</v>
      </c>
    </row>
    <row r="178" spans="1:4">
      <c r="A178" s="359" t="s">
        <v>998</v>
      </c>
      <c r="B178" s="360" t="s">
        <v>1265</v>
      </c>
      <c r="C178" s="366">
        <v>1332</v>
      </c>
      <c r="D178" s="114" t="s">
        <v>999</v>
      </c>
    </row>
    <row r="179" spans="1:4">
      <c r="A179" s="359" t="s">
        <v>1018</v>
      </c>
      <c r="B179" s="360" t="s">
        <v>1019</v>
      </c>
      <c r="C179" s="366">
        <v>11655</v>
      </c>
      <c r="D179" s="114" t="s">
        <v>1020</v>
      </c>
    </row>
    <row r="180" spans="1:4">
      <c r="A180" s="402" t="s">
        <v>1021</v>
      </c>
      <c r="B180" s="403" t="s">
        <v>1022</v>
      </c>
      <c r="C180" s="404">
        <v>6627</v>
      </c>
      <c r="D180" s="395" t="s">
        <v>1023</v>
      </c>
    </row>
    <row r="181" spans="1:4">
      <c r="A181" s="359" t="s">
        <v>1024</v>
      </c>
      <c r="B181" s="405" t="s">
        <v>1025</v>
      </c>
      <c r="C181" s="114">
        <v>6627</v>
      </c>
      <c r="D181" s="114" t="s">
        <v>1023</v>
      </c>
    </row>
    <row r="182" spans="1:4">
      <c r="A182" s="359" t="s">
        <v>1035</v>
      </c>
      <c r="B182" s="405" t="s">
        <v>1036</v>
      </c>
      <c r="C182" s="366">
        <v>814</v>
      </c>
      <c r="D182" s="114" t="s">
        <v>912</v>
      </c>
    </row>
    <row r="183" spans="1:4">
      <c r="A183" s="359" t="s">
        <v>1037</v>
      </c>
      <c r="B183" s="405" t="s">
        <v>1038</v>
      </c>
      <c r="C183" s="366">
        <v>814</v>
      </c>
      <c r="D183" s="114" t="s">
        <v>912</v>
      </c>
    </row>
    <row r="184" spans="1:4">
      <c r="A184" s="359" t="s">
        <v>1039</v>
      </c>
      <c r="B184" s="405" t="s">
        <v>1040</v>
      </c>
      <c r="C184" s="366">
        <v>814</v>
      </c>
      <c r="D184" s="114" t="s">
        <v>912</v>
      </c>
    </row>
    <row r="185" spans="1:4">
      <c r="A185" s="359" t="s">
        <v>1041</v>
      </c>
      <c r="B185" s="405" t="s">
        <v>1042</v>
      </c>
      <c r="C185" s="366">
        <v>1034</v>
      </c>
      <c r="D185" s="114" t="s">
        <v>912</v>
      </c>
    </row>
    <row r="186" spans="1:4">
      <c r="A186" s="359" t="s">
        <v>1043</v>
      </c>
      <c r="B186" s="405" t="s">
        <v>1044</v>
      </c>
      <c r="C186" s="366">
        <v>1034</v>
      </c>
      <c r="D186" s="114" t="s">
        <v>912</v>
      </c>
    </row>
    <row r="187" spans="1:4">
      <c r="A187" s="359" t="s">
        <v>1045</v>
      </c>
      <c r="B187" s="405" t="s">
        <v>1046</v>
      </c>
      <c r="C187" s="366">
        <v>1034</v>
      </c>
      <c r="D187" s="114" t="s">
        <v>912</v>
      </c>
    </row>
    <row r="188" spans="1:4">
      <c r="A188" s="359" t="s">
        <v>1072</v>
      </c>
      <c r="B188" s="405" t="s">
        <v>1073</v>
      </c>
      <c r="C188" s="366">
        <v>1110</v>
      </c>
      <c r="D188" s="114" t="s">
        <v>1074</v>
      </c>
    </row>
    <row r="189" spans="1:4">
      <c r="A189" s="359" t="s">
        <v>1075</v>
      </c>
      <c r="B189" s="405" t="s">
        <v>1076</v>
      </c>
      <c r="C189" s="366">
        <v>1110</v>
      </c>
      <c r="D189" s="114" t="s">
        <v>1074</v>
      </c>
    </row>
    <row r="190" spans="1:4">
      <c r="A190" s="359" t="s">
        <v>1077</v>
      </c>
      <c r="B190" s="405" t="s">
        <v>1078</v>
      </c>
      <c r="C190" s="366">
        <v>1110</v>
      </c>
      <c r="D190" s="114" t="s">
        <v>1074</v>
      </c>
    </row>
    <row r="191" spans="1:4">
      <c r="A191" s="359" t="s">
        <v>1085</v>
      </c>
      <c r="B191" s="405" t="s">
        <v>1086</v>
      </c>
      <c r="C191" s="366">
        <v>3431</v>
      </c>
      <c r="D191" s="114" t="s">
        <v>1000</v>
      </c>
    </row>
    <row r="192" spans="1:4">
      <c r="A192" s="359" t="s">
        <v>1087</v>
      </c>
      <c r="B192" s="405" t="s">
        <v>1088</v>
      </c>
      <c r="C192" s="366">
        <v>3431</v>
      </c>
      <c r="D192" s="114" t="s">
        <v>1000</v>
      </c>
    </row>
    <row r="193" spans="1:4">
      <c r="A193" s="359" t="s">
        <v>1089</v>
      </c>
      <c r="B193" s="405" t="s">
        <v>1090</v>
      </c>
      <c r="C193" s="366">
        <v>463</v>
      </c>
      <c r="D193" s="114" t="s">
        <v>1091</v>
      </c>
    </row>
    <row r="194" spans="1:4">
      <c r="A194" s="359" t="s">
        <v>1092</v>
      </c>
      <c r="B194" s="405" t="s">
        <v>1093</v>
      </c>
      <c r="C194" s="366">
        <v>463</v>
      </c>
      <c r="D194" s="114" t="s">
        <v>1091</v>
      </c>
    </row>
    <row r="195" spans="1:4">
      <c r="A195" s="359" t="s">
        <v>1094</v>
      </c>
      <c r="B195" s="405" t="s">
        <v>1095</v>
      </c>
      <c r="C195" s="366">
        <v>463</v>
      </c>
      <c r="D195" s="114" t="s">
        <v>1091</v>
      </c>
    </row>
    <row r="196" spans="1:4">
      <c r="A196" s="359" t="s">
        <v>1096</v>
      </c>
      <c r="B196" s="405" t="s">
        <v>1099</v>
      </c>
      <c r="C196" s="366">
        <v>890</v>
      </c>
      <c r="D196" s="114" t="s">
        <v>1102</v>
      </c>
    </row>
    <row r="197" spans="1:4">
      <c r="A197" s="359" t="s">
        <v>1097</v>
      </c>
      <c r="B197" s="405" t="s">
        <v>1100</v>
      </c>
      <c r="C197" s="366">
        <v>890</v>
      </c>
      <c r="D197" s="114" t="s">
        <v>1102</v>
      </c>
    </row>
    <row r="198" spans="1:4">
      <c r="A198" s="359" t="s">
        <v>1098</v>
      </c>
      <c r="B198" s="405" t="s">
        <v>1101</v>
      </c>
      <c r="C198" s="366">
        <v>890</v>
      </c>
      <c r="D198" s="114" t="s">
        <v>1102</v>
      </c>
    </row>
    <row r="199" spans="1:4">
      <c r="A199" s="359" t="s">
        <v>1103</v>
      </c>
      <c r="B199" s="405" t="s">
        <v>1104</v>
      </c>
      <c r="C199" s="366">
        <v>1591</v>
      </c>
      <c r="D199" s="114" t="s">
        <v>1105</v>
      </c>
    </row>
    <row r="200" spans="1:4">
      <c r="A200" s="359" t="s">
        <v>1106</v>
      </c>
      <c r="B200" s="405" t="s">
        <v>1107</v>
      </c>
      <c r="C200" s="366">
        <v>1591</v>
      </c>
      <c r="D200" s="114" t="s">
        <v>1105</v>
      </c>
    </row>
    <row r="201" spans="1:4">
      <c r="A201" s="359" t="s">
        <v>1108</v>
      </c>
      <c r="B201" s="405" t="s">
        <v>1109</v>
      </c>
      <c r="C201" s="366">
        <v>1591</v>
      </c>
      <c r="D201" s="114" t="s">
        <v>1105</v>
      </c>
    </row>
    <row r="202" spans="1:4">
      <c r="A202" s="359" t="s">
        <v>1115</v>
      </c>
      <c r="B202" s="405" t="s">
        <v>1116</v>
      </c>
      <c r="C202" s="366">
        <v>12173</v>
      </c>
      <c r="D202" s="114" t="s">
        <v>1117</v>
      </c>
    </row>
    <row r="203" spans="1:4">
      <c r="A203" s="359" t="s">
        <v>1118</v>
      </c>
      <c r="B203" s="405" t="s">
        <v>1119</v>
      </c>
      <c r="C203" s="366">
        <v>12173</v>
      </c>
      <c r="D203" s="114" t="s">
        <v>1117</v>
      </c>
    </row>
    <row r="204" spans="1:4">
      <c r="A204" s="359" t="s">
        <v>1120</v>
      </c>
      <c r="B204" s="405" t="s">
        <v>1121</v>
      </c>
      <c r="C204" s="366">
        <v>8880</v>
      </c>
      <c r="D204" s="114" t="s">
        <v>1122</v>
      </c>
    </row>
    <row r="205" spans="1:4">
      <c r="A205" s="359" t="s">
        <v>1279</v>
      </c>
      <c r="B205" s="405" t="s">
        <v>1280</v>
      </c>
      <c r="C205" s="366">
        <v>777</v>
      </c>
      <c r="D205" s="114" t="s">
        <v>1281</v>
      </c>
    </row>
    <row r="206" spans="1:4">
      <c r="A206" s="359" t="s">
        <v>1282</v>
      </c>
      <c r="B206" s="405" t="s">
        <v>1283</v>
      </c>
      <c r="C206" s="366">
        <v>777</v>
      </c>
      <c r="D206" s="114" t="s">
        <v>1281</v>
      </c>
    </row>
    <row r="207" spans="1:4">
      <c r="A207" s="359" t="s">
        <v>1284</v>
      </c>
      <c r="B207" s="405" t="s">
        <v>1285</v>
      </c>
      <c r="C207" s="366">
        <v>777</v>
      </c>
      <c r="D207" s="114" t="s">
        <v>1281</v>
      </c>
    </row>
    <row r="208" spans="1:4">
      <c r="A208" s="359" t="s">
        <v>1288</v>
      </c>
      <c r="B208" s="405" t="s">
        <v>1289</v>
      </c>
      <c r="C208" s="366">
        <v>8510</v>
      </c>
      <c r="D208" s="114" t="s">
        <v>1290</v>
      </c>
    </row>
    <row r="209" spans="1:4">
      <c r="A209" s="416" t="s">
        <v>1291</v>
      </c>
      <c r="B209" s="417" t="s">
        <v>1292</v>
      </c>
      <c r="C209" s="418">
        <v>1554</v>
      </c>
      <c r="D209" s="365" t="s">
        <v>1293</v>
      </c>
    </row>
    <row r="210" spans="1:4">
      <c r="A210" s="416" t="s">
        <v>1294</v>
      </c>
      <c r="B210" s="417" t="s">
        <v>1295</v>
      </c>
      <c r="C210" s="418">
        <v>1554</v>
      </c>
      <c r="D210" s="365" t="s">
        <v>1293</v>
      </c>
    </row>
    <row r="211" spans="1:4">
      <c r="A211" s="359" t="s">
        <v>1296</v>
      </c>
      <c r="B211" s="405" t="s">
        <v>1297</v>
      </c>
      <c r="C211" s="366">
        <v>1554</v>
      </c>
      <c r="D211" s="114" t="s">
        <v>1293</v>
      </c>
    </row>
    <row r="212" spans="1:4">
      <c r="A212" s="359" t="s">
        <v>1320</v>
      </c>
      <c r="B212" s="405" t="s">
        <v>1321</v>
      </c>
      <c r="C212" s="366">
        <v>407</v>
      </c>
      <c r="D212" s="114" t="s">
        <v>1322</v>
      </c>
    </row>
    <row r="213" spans="1:4">
      <c r="A213" s="359" t="s">
        <v>1323</v>
      </c>
      <c r="B213" s="405" t="s">
        <v>1324</v>
      </c>
      <c r="C213" s="366">
        <v>407</v>
      </c>
      <c r="D213" s="114" t="s">
        <v>1322</v>
      </c>
    </row>
    <row r="214" spans="1:4">
      <c r="A214" s="359" t="s">
        <v>1325</v>
      </c>
      <c r="B214" s="405" t="s">
        <v>1326</v>
      </c>
      <c r="C214" s="366">
        <v>407</v>
      </c>
      <c r="D214" s="114" t="s">
        <v>1322</v>
      </c>
    </row>
    <row r="215" spans="1:4">
      <c r="A215" s="359" t="s">
        <v>1327</v>
      </c>
      <c r="B215" s="405" t="s">
        <v>1328</v>
      </c>
      <c r="C215" s="366">
        <v>1406</v>
      </c>
      <c r="D215" s="421" t="s">
        <v>1329</v>
      </c>
    </row>
    <row r="216" spans="1:4">
      <c r="A216" s="359" t="s">
        <v>1347</v>
      </c>
      <c r="B216" s="405" t="s">
        <v>1348</v>
      </c>
      <c r="C216" s="366">
        <v>703</v>
      </c>
      <c r="D216" s="421" t="s">
        <v>1349</v>
      </c>
    </row>
    <row r="217" spans="1:4">
      <c r="A217" s="359" t="s">
        <v>1350</v>
      </c>
      <c r="B217" s="405" t="s">
        <v>1351</v>
      </c>
      <c r="C217" s="366">
        <v>703</v>
      </c>
      <c r="D217" s="421" t="s">
        <v>1349</v>
      </c>
    </row>
    <row r="218" spans="1:4">
      <c r="A218" s="359" t="s">
        <v>1352</v>
      </c>
      <c r="B218" s="405" t="s">
        <v>1353</v>
      </c>
      <c r="C218" s="366">
        <v>703</v>
      </c>
      <c r="D218" s="421" t="s">
        <v>1349</v>
      </c>
    </row>
    <row r="219" spans="1:4">
      <c r="A219" s="376" t="s">
        <v>1361</v>
      </c>
      <c r="B219" s="426" t="s">
        <v>1362</v>
      </c>
      <c r="C219" s="427">
        <v>7990</v>
      </c>
      <c r="D219" s="428" t="s">
        <v>1363</v>
      </c>
    </row>
    <row r="220" spans="1:4">
      <c r="A220" s="376" t="s">
        <v>1364</v>
      </c>
      <c r="B220" s="426" t="s">
        <v>1365</v>
      </c>
      <c r="C220" s="427">
        <v>7990</v>
      </c>
      <c r="D220" s="428" t="s">
        <v>1363</v>
      </c>
    </row>
    <row r="221" spans="1:4">
      <c r="A221" s="422"/>
      <c r="B221" s="423"/>
      <c r="C221" s="424"/>
    </row>
    <row r="223" spans="1:4">
      <c r="A223" s="355" t="s">
        <v>441</v>
      </c>
      <c r="B223" s="356" t="s">
        <v>513</v>
      </c>
      <c r="C223" s="356" t="s">
        <v>433</v>
      </c>
      <c r="D223" s="382" t="s">
        <v>621</v>
      </c>
    </row>
    <row r="224" spans="1:4">
      <c r="A224" s="357" t="s">
        <v>1123</v>
      </c>
      <c r="B224" s="361" t="s">
        <v>1124</v>
      </c>
      <c r="C224" s="378">
        <v>3097</v>
      </c>
      <c r="D224" s="114" t="s">
        <v>1130</v>
      </c>
    </row>
    <row r="225" spans="1:4">
      <c r="A225" s="359" t="s">
        <v>493</v>
      </c>
      <c r="B225" s="361" t="s">
        <v>494</v>
      </c>
      <c r="C225" s="378">
        <v>3247</v>
      </c>
      <c r="D225" s="114" t="s">
        <v>1131</v>
      </c>
    </row>
    <row r="226" spans="1:4">
      <c r="A226" s="357" t="s">
        <v>495</v>
      </c>
      <c r="B226" s="361" t="s">
        <v>496</v>
      </c>
      <c r="C226" s="378">
        <v>3400</v>
      </c>
      <c r="D226" s="114" t="s">
        <v>1132</v>
      </c>
    </row>
    <row r="227" spans="1:4">
      <c r="A227" s="361" t="s">
        <v>1125</v>
      </c>
      <c r="B227" s="361" t="s">
        <v>497</v>
      </c>
      <c r="C227" s="378">
        <v>3570</v>
      </c>
      <c r="D227" s="114" t="s">
        <v>1133</v>
      </c>
    </row>
    <row r="228" spans="1:4">
      <c r="A228" s="361" t="s">
        <v>491</v>
      </c>
      <c r="B228" s="361" t="s">
        <v>1126</v>
      </c>
      <c r="C228" s="378">
        <v>3706</v>
      </c>
      <c r="D228" s="114" t="s">
        <v>1134</v>
      </c>
    </row>
    <row r="229" spans="1:4">
      <c r="A229" s="362" t="s">
        <v>498</v>
      </c>
      <c r="B229" s="361" t="s">
        <v>1127</v>
      </c>
      <c r="C229" s="378">
        <v>3876</v>
      </c>
      <c r="D229" s="114" t="s">
        <v>1135</v>
      </c>
    </row>
    <row r="230" spans="1:4">
      <c r="A230" s="361" t="s">
        <v>492</v>
      </c>
      <c r="B230" s="361" t="s">
        <v>1128</v>
      </c>
      <c r="C230" s="378">
        <v>4012</v>
      </c>
      <c r="D230" s="114" t="s">
        <v>1136</v>
      </c>
    </row>
    <row r="231" spans="1:4">
      <c r="A231" s="361" t="s">
        <v>499</v>
      </c>
      <c r="B231" s="361" t="s">
        <v>1129</v>
      </c>
      <c r="C231" s="378">
        <v>5984</v>
      </c>
      <c r="D231" s="114" t="s">
        <v>1137</v>
      </c>
    </row>
    <row r="232" spans="1:4">
      <c r="A232" s="361" t="s">
        <v>500</v>
      </c>
      <c r="B232" s="361" t="s">
        <v>501</v>
      </c>
      <c r="C232" s="378">
        <v>5984</v>
      </c>
      <c r="D232" s="114" t="s">
        <v>1137</v>
      </c>
    </row>
    <row r="233" spans="1:4">
      <c r="A233" s="361" t="s">
        <v>502</v>
      </c>
      <c r="B233" s="361" t="s">
        <v>503</v>
      </c>
      <c r="C233" s="378">
        <v>6358</v>
      </c>
      <c r="D233" s="114" t="s">
        <v>1138</v>
      </c>
    </row>
    <row r="234" spans="1:4">
      <c r="A234" s="361" t="s">
        <v>810</v>
      </c>
      <c r="B234" s="361" t="s">
        <v>811</v>
      </c>
      <c r="C234" s="378">
        <v>6732</v>
      </c>
      <c r="D234" s="114" t="s">
        <v>1139</v>
      </c>
    </row>
    <row r="235" spans="1:4">
      <c r="A235" s="361" t="s">
        <v>1140</v>
      </c>
      <c r="B235" s="361" t="s">
        <v>1141</v>
      </c>
      <c r="C235" s="378">
        <v>3706</v>
      </c>
      <c r="D235" s="114" t="s">
        <v>1134</v>
      </c>
    </row>
    <row r="236" spans="1:4">
      <c r="A236" s="361" t="s">
        <v>1142</v>
      </c>
      <c r="B236" s="361" t="s">
        <v>1143</v>
      </c>
      <c r="C236" s="378">
        <v>4012</v>
      </c>
      <c r="D236" s="114" t="s">
        <v>1136</v>
      </c>
    </row>
    <row r="237" spans="1:4">
      <c r="A237" s="361" t="s">
        <v>514</v>
      </c>
      <c r="B237" s="361" t="s">
        <v>1144</v>
      </c>
      <c r="C237" s="379">
        <v>4318</v>
      </c>
      <c r="D237" s="114" t="s">
        <v>1145</v>
      </c>
    </row>
    <row r="238" spans="1:4">
      <c r="A238" s="361" t="s">
        <v>1146</v>
      </c>
      <c r="B238" s="361" t="s">
        <v>1147</v>
      </c>
      <c r="C238" s="378">
        <v>4352</v>
      </c>
      <c r="D238" s="114" t="s">
        <v>1148</v>
      </c>
    </row>
    <row r="239" spans="1:4">
      <c r="A239" s="361" t="s">
        <v>504</v>
      </c>
      <c r="B239" s="361" t="s">
        <v>505</v>
      </c>
      <c r="C239" s="378">
        <v>4552</v>
      </c>
      <c r="D239" s="114" t="s">
        <v>1149</v>
      </c>
    </row>
    <row r="240" spans="1:4">
      <c r="A240" s="361" t="s">
        <v>506</v>
      </c>
      <c r="B240" s="361" t="s">
        <v>507</v>
      </c>
      <c r="C240" s="379">
        <v>4692</v>
      </c>
      <c r="D240" s="114" t="s">
        <v>1150</v>
      </c>
    </row>
    <row r="241" spans="1:4">
      <c r="A241" s="361" t="s">
        <v>508</v>
      </c>
      <c r="B241" s="361" t="s">
        <v>509</v>
      </c>
      <c r="C241" s="378">
        <v>4828</v>
      </c>
      <c r="D241" s="114" t="s">
        <v>1151</v>
      </c>
    </row>
    <row r="242" spans="1:4">
      <c r="A242" s="361" t="s">
        <v>987</v>
      </c>
      <c r="B242" s="361" t="s">
        <v>1153</v>
      </c>
      <c r="C242" s="378">
        <v>5168</v>
      </c>
      <c r="D242" s="114" t="s">
        <v>1155</v>
      </c>
    </row>
    <row r="243" spans="1:4">
      <c r="A243" s="361" t="s">
        <v>1152</v>
      </c>
      <c r="B243" s="361" t="s">
        <v>1154</v>
      </c>
      <c r="C243" s="380">
        <v>7888</v>
      </c>
      <c r="D243" s="114" t="s">
        <v>1156</v>
      </c>
    </row>
    <row r="244" spans="1:4">
      <c r="A244" s="361" t="s">
        <v>490</v>
      </c>
      <c r="B244" s="361" t="s">
        <v>1158</v>
      </c>
      <c r="C244" s="380">
        <v>7888</v>
      </c>
      <c r="D244" s="114" t="s">
        <v>1156</v>
      </c>
    </row>
    <row r="245" spans="1:4">
      <c r="A245" s="361" t="s">
        <v>922</v>
      </c>
      <c r="B245" s="361" t="s">
        <v>1159</v>
      </c>
      <c r="C245" s="381">
        <v>8262</v>
      </c>
      <c r="D245" s="114" t="s">
        <v>1161</v>
      </c>
    </row>
    <row r="246" spans="1:4">
      <c r="A246" s="361" t="s">
        <v>1157</v>
      </c>
      <c r="B246" s="361" t="s">
        <v>1160</v>
      </c>
      <c r="C246" s="381">
        <v>8670</v>
      </c>
      <c r="D246" s="114" t="s">
        <v>1162</v>
      </c>
    </row>
    <row r="247" spans="1:4">
      <c r="A247" s="361" t="s">
        <v>1163</v>
      </c>
      <c r="B247" s="114" t="s">
        <v>1170</v>
      </c>
      <c r="C247" s="380">
        <v>4522</v>
      </c>
      <c r="D247" s="114" t="s">
        <v>1149</v>
      </c>
    </row>
    <row r="248" spans="1:4">
      <c r="A248" s="361" t="s">
        <v>1164</v>
      </c>
      <c r="B248" s="114" t="s">
        <v>1171</v>
      </c>
      <c r="C248" s="380">
        <v>4826</v>
      </c>
      <c r="D248" s="114" t="s">
        <v>1151</v>
      </c>
    </row>
    <row r="249" spans="1:4">
      <c r="A249" s="361" t="s">
        <v>1165</v>
      </c>
      <c r="B249" s="114" t="s">
        <v>1172</v>
      </c>
      <c r="C249" s="380">
        <v>5066</v>
      </c>
      <c r="D249" s="114" t="s">
        <v>1178</v>
      </c>
    </row>
    <row r="250" spans="1:4">
      <c r="A250" s="361" t="s">
        <v>1286</v>
      </c>
      <c r="B250" s="114" t="s">
        <v>1173</v>
      </c>
      <c r="C250" s="380">
        <v>5304</v>
      </c>
      <c r="D250" s="114" t="s">
        <v>1179</v>
      </c>
    </row>
    <row r="251" spans="1:4">
      <c r="A251" s="361" t="s">
        <v>1166</v>
      </c>
      <c r="B251" s="114" t="s">
        <v>1174</v>
      </c>
      <c r="C251" s="379">
        <v>5542</v>
      </c>
      <c r="D251" s="114" t="s">
        <v>1180</v>
      </c>
    </row>
    <row r="252" spans="1:4">
      <c r="A252" s="361" t="s">
        <v>1168</v>
      </c>
      <c r="B252" s="114" t="s">
        <v>1175</v>
      </c>
      <c r="C252" s="407">
        <v>5814</v>
      </c>
      <c r="D252" s="395" t="s">
        <v>1181</v>
      </c>
    </row>
    <row r="253" spans="1:4">
      <c r="A253" s="361" t="s">
        <v>1167</v>
      </c>
      <c r="B253" s="114" t="s">
        <v>1176</v>
      </c>
      <c r="C253">
        <v>6120</v>
      </c>
      <c r="D253" s="395" t="s">
        <v>1182</v>
      </c>
    </row>
    <row r="254" spans="1:4">
      <c r="A254" s="361" t="s">
        <v>1169</v>
      </c>
      <c r="B254" s="114" t="s">
        <v>1177</v>
      </c>
      <c r="C254" s="114">
        <v>8942</v>
      </c>
      <c r="D254" s="114" t="s">
        <v>1183</v>
      </c>
    </row>
    <row r="255" spans="1:4">
      <c r="A255" s="361" t="s">
        <v>510</v>
      </c>
      <c r="B255" s="114" t="s">
        <v>1186</v>
      </c>
      <c r="C255" s="114">
        <v>8492</v>
      </c>
      <c r="D255" s="114" t="s">
        <v>1183</v>
      </c>
    </row>
    <row r="256" spans="1:4">
      <c r="A256" s="361" t="s">
        <v>1184</v>
      </c>
      <c r="B256" s="114" t="s">
        <v>1187</v>
      </c>
      <c r="C256" s="114">
        <v>9418</v>
      </c>
      <c r="D256" s="114" t="s">
        <v>1189</v>
      </c>
    </row>
    <row r="257" spans="1:4">
      <c r="A257" s="361" t="s">
        <v>1185</v>
      </c>
      <c r="B257" s="114" t="s">
        <v>1188</v>
      </c>
      <c r="C257" s="114">
        <v>10302</v>
      </c>
      <c r="D257" s="114" t="s">
        <v>1190</v>
      </c>
    </row>
    <row r="258" spans="1:4">
      <c r="A258" s="951" t="s">
        <v>1191</v>
      </c>
      <c r="B258" s="361" t="s">
        <v>1195</v>
      </c>
      <c r="C258" s="114">
        <v>6392</v>
      </c>
      <c r="D258" s="114" t="s">
        <v>1200</v>
      </c>
    </row>
    <row r="259" spans="1:4">
      <c r="A259" s="951" t="s">
        <v>1192</v>
      </c>
      <c r="B259" s="361" t="s">
        <v>1196</v>
      </c>
      <c r="C259" s="114">
        <v>6664</v>
      </c>
      <c r="D259" s="114" t="s">
        <v>1201</v>
      </c>
    </row>
    <row r="260" spans="1:4">
      <c r="A260" s="951" t="s">
        <v>1193</v>
      </c>
      <c r="B260" s="361" t="s">
        <v>1197</v>
      </c>
      <c r="C260" s="114">
        <v>6902</v>
      </c>
      <c r="D260" s="114" t="s">
        <v>1202</v>
      </c>
    </row>
    <row r="261" spans="1:4">
      <c r="A261" s="951" t="s">
        <v>1287</v>
      </c>
      <c r="B261" s="361" t="s">
        <v>1198</v>
      </c>
      <c r="C261" s="114">
        <v>7174</v>
      </c>
      <c r="D261" s="114" t="s">
        <v>1203</v>
      </c>
    </row>
    <row r="262" spans="1:4">
      <c r="A262" s="951" t="s">
        <v>1194</v>
      </c>
      <c r="B262" s="361" t="s">
        <v>1199</v>
      </c>
      <c r="C262" s="114">
        <v>7684</v>
      </c>
      <c r="D262" s="114" t="s">
        <v>1204</v>
      </c>
    </row>
    <row r="263" spans="1:4">
      <c r="A263" s="951" t="s">
        <v>1205</v>
      </c>
      <c r="B263" s="361" t="s">
        <v>1208</v>
      </c>
      <c r="C263" s="114">
        <v>11662</v>
      </c>
      <c r="D263" s="114" t="s">
        <v>1209</v>
      </c>
    </row>
    <row r="264" spans="1:4">
      <c r="A264" s="951" t="s">
        <v>1206</v>
      </c>
      <c r="B264" s="361" t="s">
        <v>1210</v>
      </c>
      <c r="C264" s="114">
        <v>12206</v>
      </c>
      <c r="D264" s="114" t="s">
        <v>1211</v>
      </c>
    </row>
    <row r="265" spans="1:4">
      <c r="A265" s="951" t="s">
        <v>1207</v>
      </c>
      <c r="B265" s="361" t="s">
        <v>1212</v>
      </c>
      <c r="C265" s="114">
        <v>12750</v>
      </c>
      <c r="D265" s="114" t="s">
        <v>1213</v>
      </c>
    </row>
    <row r="266" spans="1:4">
      <c r="A266" s="398" t="s">
        <v>1079</v>
      </c>
      <c r="B266" s="114" t="s">
        <v>1080</v>
      </c>
      <c r="C266" s="114">
        <v>697</v>
      </c>
      <c r="D266" s="114" t="s">
        <v>1214</v>
      </c>
    </row>
    <row r="267" spans="1:4">
      <c r="A267" s="398" t="s">
        <v>1081</v>
      </c>
      <c r="B267" s="114" t="s">
        <v>1082</v>
      </c>
      <c r="C267" s="114">
        <v>1428</v>
      </c>
      <c r="D267" s="114" t="s">
        <v>1215</v>
      </c>
    </row>
    <row r="268" spans="1:4">
      <c r="A268" s="398" t="s">
        <v>1083</v>
      </c>
      <c r="B268" s="114" t="s">
        <v>1084</v>
      </c>
      <c r="C268" s="114">
        <v>1717</v>
      </c>
      <c r="D268" s="114" t="s">
        <v>1216</v>
      </c>
    </row>
    <row r="269" spans="1:4">
      <c r="A269" s="114"/>
      <c r="B269" s="114"/>
      <c r="C269" s="114"/>
      <c r="D269" s="114"/>
    </row>
    <row r="270" spans="1:4">
      <c r="A270" s="396" t="s">
        <v>1110</v>
      </c>
      <c r="B270" s="394" t="s">
        <v>1217</v>
      </c>
      <c r="C270" s="114">
        <v>935</v>
      </c>
      <c r="D270" s="114" t="s">
        <v>1226</v>
      </c>
    </row>
    <row r="271" spans="1:4">
      <c r="A271" s="396" t="s">
        <v>1111</v>
      </c>
      <c r="B271" s="394" t="s">
        <v>1218</v>
      </c>
      <c r="C271" s="114">
        <v>935</v>
      </c>
      <c r="D271" s="114" t="s">
        <v>1226</v>
      </c>
    </row>
    <row r="272" spans="1:4">
      <c r="A272" s="393" t="s">
        <v>1112</v>
      </c>
      <c r="B272" s="394" t="s">
        <v>1219</v>
      </c>
      <c r="C272" s="114">
        <v>935</v>
      </c>
      <c r="D272" s="114" t="s">
        <v>1226</v>
      </c>
    </row>
    <row r="273" spans="1:4">
      <c r="A273" s="393" t="s">
        <v>1220</v>
      </c>
      <c r="B273" s="394" t="s">
        <v>1223</v>
      </c>
      <c r="C273" s="114">
        <v>1683</v>
      </c>
      <c r="D273" s="114" t="s">
        <v>1227</v>
      </c>
    </row>
    <row r="274" spans="1:4">
      <c r="A274" s="393" t="s">
        <v>1221</v>
      </c>
      <c r="B274" s="394" t="s">
        <v>1224</v>
      </c>
      <c r="C274" s="114">
        <v>1683</v>
      </c>
      <c r="D274" s="114" t="s">
        <v>1227</v>
      </c>
    </row>
    <row r="275" spans="1:4">
      <c r="A275" s="393" t="s">
        <v>1222</v>
      </c>
      <c r="B275" s="394" t="s">
        <v>1225</v>
      </c>
      <c r="C275" s="114">
        <v>1683</v>
      </c>
      <c r="D275" s="114" t="s">
        <v>1227</v>
      </c>
    </row>
    <row r="276" spans="1:4">
      <c r="A276" s="398" t="s">
        <v>928</v>
      </c>
      <c r="B276" s="114" t="s">
        <v>929</v>
      </c>
      <c r="C276" s="114">
        <v>969</v>
      </c>
      <c r="D276" s="114" t="s">
        <v>1228</v>
      </c>
    </row>
    <row r="277" spans="1:4">
      <c r="A277" s="398" t="s">
        <v>930</v>
      </c>
      <c r="B277" s="114" t="s">
        <v>931</v>
      </c>
      <c r="C277" s="114">
        <v>969</v>
      </c>
      <c r="D277" s="114" t="s">
        <v>1228</v>
      </c>
    </row>
    <row r="278" spans="1:4">
      <c r="A278" s="398" t="s">
        <v>932</v>
      </c>
      <c r="B278" s="114" t="s">
        <v>933</v>
      </c>
      <c r="C278" s="114">
        <v>969</v>
      </c>
      <c r="D278" s="114" t="s">
        <v>1228</v>
      </c>
    </row>
    <row r="279" spans="1:4">
      <c r="A279" s="398"/>
      <c r="B279" s="114"/>
      <c r="C279" s="114"/>
      <c r="D279" s="114"/>
    </row>
    <row r="280" spans="1:4">
      <c r="A280" s="398" t="s">
        <v>1305</v>
      </c>
      <c r="B280" s="114" t="s">
        <v>1306</v>
      </c>
      <c r="C280" s="114">
        <v>10370</v>
      </c>
      <c r="D280" s="114" t="s">
        <v>1307</v>
      </c>
    </row>
    <row r="281" spans="1:4">
      <c r="A281" s="398" t="s">
        <v>1308</v>
      </c>
      <c r="B281" s="114" t="s">
        <v>1309</v>
      </c>
      <c r="C281" s="114">
        <v>11914</v>
      </c>
      <c r="D281" s="114" t="s">
        <v>1310</v>
      </c>
    </row>
    <row r="282" spans="1:4">
      <c r="A282" s="361" t="s">
        <v>1311</v>
      </c>
      <c r="B282" s="114" t="s">
        <v>1312</v>
      </c>
      <c r="C282" s="114">
        <v>6290</v>
      </c>
      <c r="D282" s="114" t="s">
        <v>1313</v>
      </c>
    </row>
    <row r="283" spans="1:4">
      <c r="A283" s="398" t="s">
        <v>1314</v>
      </c>
      <c r="B283" s="114" t="s">
        <v>1315</v>
      </c>
      <c r="C283" s="114">
        <v>3876</v>
      </c>
      <c r="D283" s="114" t="s">
        <v>1316</v>
      </c>
    </row>
    <row r="284" spans="1:4">
      <c r="A284" s="398" t="s">
        <v>1317</v>
      </c>
      <c r="B284" s="114" t="s">
        <v>1318</v>
      </c>
      <c r="C284" s="114">
        <v>4148</v>
      </c>
      <c r="D284" s="114" t="s">
        <v>1319</v>
      </c>
    </row>
    <row r="285" spans="1:4">
      <c r="A285" s="398"/>
      <c r="B285" s="114"/>
      <c r="C285" s="114"/>
      <c r="D285" s="114"/>
    </row>
    <row r="286" spans="1:4">
      <c r="A286" s="398"/>
      <c r="B286" s="114"/>
      <c r="C286" s="114"/>
      <c r="D286" s="114"/>
    </row>
    <row r="287" spans="1:4">
      <c r="A287" s="114"/>
      <c r="B287" s="114"/>
      <c r="C287" s="114"/>
      <c r="D287" s="114"/>
    </row>
    <row r="289" spans="1:4">
      <c r="A289" s="355" t="s">
        <v>441</v>
      </c>
      <c r="B289" s="356" t="s">
        <v>521</v>
      </c>
      <c r="C289" s="356" t="s">
        <v>433</v>
      </c>
      <c r="D289" s="382" t="s">
        <v>621</v>
      </c>
    </row>
    <row r="290" spans="1:4">
      <c r="A290" s="114" t="s">
        <v>522</v>
      </c>
      <c r="B290" s="114" t="s">
        <v>1266</v>
      </c>
      <c r="C290" s="380">
        <v>2108</v>
      </c>
      <c r="D290" s="114" t="s">
        <v>677</v>
      </c>
    </row>
    <row r="291" spans="1:4">
      <c r="A291" s="114" t="s">
        <v>523</v>
      </c>
      <c r="B291" s="114" t="s">
        <v>1267</v>
      </c>
      <c r="C291" s="380">
        <v>2108</v>
      </c>
      <c r="D291" s="114" t="s">
        <v>677</v>
      </c>
    </row>
    <row r="292" spans="1:4">
      <c r="A292" s="114" t="s">
        <v>524</v>
      </c>
      <c r="B292" s="114" t="s">
        <v>1268</v>
      </c>
      <c r="C292" s="381">
        <v>2108</v>
      </c>
      <c r="D292" s="114" t="s">
        <v>677</v>
      </c>
    </row>
    <row r="293" spans="1:4">
      <c r="A293" s="114" t="s">
        <v>525</v>
      </c>
      <c r="B293" s="114" t="s">
        <v>1269</v>
      </c>
      <c r="C293" s="380">
        <v>2178</v>
      </c>
      <c r="D293" s="114" t="s">
        <v>678</v>
      </c>
    </row>
    <row r="294" spans="1:4">
      <c r="A294" s="114" t="s">
        <v>526</v>
      </c>
      <c r="B294" s="114" t="s">
        <v>1270</v>
      </c>
      <c r="C294" s="381">
        <v>2178</v>
      </c>
      <c r="D294" s="114" t="s">
        <v>678</v>
      </c>
    </row>
    <row r="295" spans="1:4">
      <c r="A295" s="114" t="s">
        <v>527</v>
      </c>
      <c r="B295" s="114" t="s">
        <v>1271</v>
      </c>
      <c r="C295" s="381">
        <v>2178</v>
      </c>
      <c r="D295" s="114" t="s">
        <v>678</v>
      </c>
    </row>
    <row r="296" spans="1:4">
      <c r="A296" s="114" t="s">
        <v>552</v>
      </c>
      <c r="B296" s="114" t="s">
        <v>1270</v>
      </c>
      <c r="C296" s="381">
        <v>2178</v>
      </c>
      <c r="D296" s="114" t="s">
        <v>678</v>
      </c>
    </row>
    <row r="297" spans="1:4">
      <c r="A297" s="114" t="s">
        <v>553</v>
      </c>
      <c r="B297" s="114" t="s">
        <v>1269</v>
      </c>
      <c r="C297" s="381">
        <v>2178</v>
      </c>
      <c r="D297" s="114" t="s">
        <v>678</v>
      </c>
    </row>
    <row r="298" spans="1:4">
      <c r="A298" s="114" t="s">
        <v>554</v>
      </c>
      <c r="B298" s="114" t="s">
        <v>1271</v>
      </c>
      <c r="C298" s="381">
        <v>2178</v>
      </c>
      <c r="D298" s="114" t="s">
        <v>678</v>
      </c>
    </row>
    <row r="299" spans="1:4">
      <c r="A299" s="114" t="s">
        <v>528</v>
      </c>
      <c r="B299" s="114" t="s">
        <v>529</v>
      </c>
      <c r="C299" s="380">
        <v>1995</v>
      </c>
      <c r="D299" s="114" t="s">
        <v>679</v>
      </c>
    </row>
    <row r="300" spans="1:4">
      <c r="A300" s="114" t="s">
        <v>531</v>
      </c>
      <c r="B300" s="114" t="s">
        <v>530</v>
      </c>
      <c r="C300" s="380">
        <v>1995</v>
      </c>
      <c r="D300" s="114" t="s">
        <v>679</v>
      </c>
    </row>
    <row r="301" spans="1:4">
      <c r="A301" s="114" t="s">
        <v>534</v>
      </c>
      <c r="B301" s="114" t="s">
        <v>532</v>
      </c>
      <c r="C301" s="380">
        <v>1995</v>
      </c>
      <c r="D301" s="114" t="s">
        <v>679</v>
      </c>
    </row>
    <row r="302" spans="1:4">
      <c r="A302" s="364" t="s">
        <v>535</v>
      </c>
      <c r="B302" s="114" t="s">
        <v>533</v>
      </c>
      <c r="C302" s="380">
        <v>3251</v>
      </c>
      <c r="D302" s="114" t="s">
        <v>680</v>
      </c>
    </row>
    <row r="303" spans="1:4">
      <c r="A303" s="114" t="s">
        <v>536</v>
      </c>
      <c r="B303" s="114" t="s">
        <v>537</v>
      </c>
      <c r="C303" s="381">
        <v>3251</v>
      </c>
      <c r="D303" s="114" t="s">
        <v>680</v>
      </c>
    </row>
    <row r="304" spans="1:4">
      <c r="A304" s="365" t="s">
        <v>538</v>
      </c>
      <c r="B304" s="365" t="s">
        <v>539</v>
      </c>
      <c r="C304" s="410">
        <v>3251</v>
      </c>
      <c r="D304" s="114" t="s">
        <v>680</v>
      </c>
    </row>
    <row r="305" spans="1:4">
      <c r="A305" s="114" t="s">
        <v>540</v>
      </c>
      <c r="B305" s="114" t="s">
        <v>541</v>
      </c>
      <c r="C305" s="380">
        <v>483</v>
      </c>
      <c r="D305" s="114" t="s">
        <v>681</v>
      </c>
    </row>
    <row r="306" spans="1:4">
      <c r="A306" s="114" t="s">
        <v>542</v>
      </c>
      <c r="B306" s="114" t="s">
        <v>543</v>
      </c>
      <c r="C306" s="380">
        <v>483</v>
      </c>
      <c r="D306" s="114" t="s">
        <v>681</v>
      </c>
    </row>
    <row r="307" spans="1:4">
      <c r="A307" s="114" t="s">
        <v>545</v>
      </c>
      <c r="B307" s="114" t="s">
        <v>544</v>
      </c>
      <c r="C307" s="380">
        <v>483</v>
      </c>
      <c r="D307" s="114" t="s">
        <v>681</v>
      </c>
    </row>
    <row r="308" spans="1:4">
      <c r="A308" s="114" t="s">
        <v>546</v>
      </c>
      <c r="B308" s="114" t="s">
        <v>547</v>
      </c>
      <c r="C308" s="380">
        <v>1777</v>
      </c>
      <c r="D308" s="114" t="s">
        <v>682</v>
      </c>
    </row>
    <row r="309" spans="1:4">
      <c r="A309" s="114" t="s">
        <v>549</v>
      </c>
      <c r="B309" s="114" t="s">
        <v>548</v>
      </c>
      <c r="C309" s="380">
        <v>1777</v>
      </c>
      <c r="D309" s="114" t="s">
        <v>682</v>
      </c>
    </row>
    <row r="310" spans="1:4">
      <c r="A310" s="114" t="s">
        <v>550</v>
      </c>
      <c r="B310" s="114" t="s">
        <v>551</v>
      </c>
      <c r="C310" s="380">
        <v>1777</v>
      </c>
      <c r="D310" s="114" t="s">
        <v>682</v>
      </c>
    </row>
    <row r="311" spans="1:4">
      <c r="A311" s="364" t="s">
        <v>566</v>
      </c>
      <c r="B311" s="114" t="s">
        <v>567</v>
      </c>
      <c r="C311" s="380">
        <v>1340</v>
      </c>
      <c r="D311" s="114" t="s">
        <v>683</v>
      </c>
    </row>
    <row r="312" spans="1:4">
      <c r="A312" s="364" t="s">
        <v>569</v>
      </c>
      <c r="B312" s="114" t="s">
        <v>568</v>
      </c>
      <c r="C312" s="380">
        <v>1340</v>
      </c>
      <c r="D312" s="114" t="s">
        <v>683</v>
      </c>
    </row>
    <row r="313" spans="1:4">
      <c r="A313" s="114" t="s">
        <v>570</v>
      </c>
      <c r="B313" s="114" t="s">
        <v>758</v>
      </c>
      <c r="C313" s="380">
        <v>1340</v>
      </c>
      <c r="D313" s="114" t="s">
        <v>683</v>
      </c>
    </row>
    <row r="314" spans="1:4">
      <c r="A314" s="364" t="s">
        <v>748</v>
      </c>
      <c r="B314" s="114" t="s">
        <v>751</v>
      </c>
      <c r="C314" s="380">
        <v>1626</v>
      </c>
      <c r="D314" s="114" t="s">
        <v>754</v>
      </c>
    </row>
    <row r="315" spans="1:4">
      <c r="A315" s="364" t="s">
        <v>749</v>
      </c>
      <c r="B315" s="114" t="s">
        <v>752</v>
      </c>
      <c r="C315" s="380">
        <v>1626</v>
      </c>
      <c r="D315" s="114" t="s">
        <v>754</v>
      </c>
    </row>
    <row r="316" spans="1:4">
      <c r="A316" s="364" t="s">
        <v>750</v>
      </c>
      <c r="B316" s="114" t="s">
        <v>753</v>
      </c>
      <c r="C316" s="380">
        <v>1626</v>
      </c>
      <c r="D316" s="114" t="s">
        <v>754</v>
      </c>
    </row>
    <row r="317" spans="1:4">
      <c r="A317" s="43" t="s">
        <v>755</v>
      </c>
      <c r="B317" s="114" t="s">
        <v>759</v>
      </c>
      <c r="C317" s="380">
        <v>3243</v>
      </c>
      <c r="D317" s="114" t="s">
        <v>762</v>
      </c>
    </row>
    <row r="318" spans="1:4">
      <c r="A318" s="43" t="s">
        <v>756</v>
      </c>
      <c r="B318" s="114" t="s">
        <v>760</v>
      </c>
      <c r="C318" s="380">
        <v>3243</v>
      </c>
      <c r="D318" s="114" t="s">
        <v>762</v>
      </c>
    </row>
    <row r="319" spans="1:4">
      <c r="A319" s="43" t="s">
        <v>757</v>
      </c>
      <c r="B319" s="114" t="s">
        <v>761</v>
      </c>
      <c r="C319" s="380">
        <v>3243</v>
      </c>
      <c r="D319" s="114" t="s">
        <v>762</v>
      </c>
    </row>
    <row r="320" spans="1:4">
      <c r="A320" s="43" t="s">
        <v>1011</v>
      </c>
      <c r="B320" s="114" t="s">
        <v>1272</v>
      </c>
      <c r="C320" s="114">
        <v>1512</v>
      </c>
      <c r="D320" s="114" t="s">
        <v>999</v>
      </c>
    </row>
    <row r="321" spans="1:4">
      <c r="A321" s="43" t="s">
        <v>1012</v>
      </c>
      <c r="B321" s="114" t="s">
        <v>1273</v>
      </c>
      <c r="C321" s="114">
        <v>1512</v>
      </c>
      <c r="D321" s="114" t="s">
        <v>1330</v>
      </c>
    </row>
    <row r="322" spans="1:4">
      <c r="A322" s="43" t="s">
        <v>1047</v>
      </c>
      <c r="B322" s="114" t="s">
        <v>1274</v>
      </c>
      <c r="C322" s="114">
        <v>1512</v>
      </c>
      <c r="D322" s="114" t="s">
        <v>1330</v>
      </c>
    </row>
    <row r="323" spans="1:4">
      <c r="A323" s="43" t="s">
        <v>1048</v>
      </c>
      <c r="B323" s="114" t="s">
        <v>1275</v>
      </c>
      <c r="C323" s="114">
        <v>1512</v>
      </c>
      <c r="D323" s="114" t="s">
        <v>1330</v>
      </c>
    </row>
    <row r="324" spans="1:4">
      <c r="A324" s="43" t="s">
        <v>1016</v>
      </c>
      <c r="B324" s="114" t="s">
        <v>1001</v>
      </c>
      <c r="C324" s="114">
        <v>1932</v>
      </c>
      <c r="D324" s="114" t="s">
        <v>1002</v>
      </c>
    </row>
    <row r="325" spans="1:4">
      <c r="A325" s="43" t="s">
        <v>1017</v>
      </c>
      <c r="B325" s="114" t="s">
        <v>1003</v>
      </c>
      <c r="C325" s="114">
        <v>2604</v>
      </c>
      <c r="D325" s="114" t="s">
        <v>1004</v>
      </c>
    </row>
    <row r="326" spans="1:4">
      <c r="A326" s="43" t="s">
        <v>1013</v>
      </c>
      <c r="B326" s="114" t="s">
        <v>1005</v>
      </c>
      <c r="C326" s="114">
        <v>2142</v>
      </c>
      <c r="D326" s="114" t="s">
        <v>1006</v>
      </c>
    </row>
    <row r="327" spans="1:4">
      <c r="A327" s="43" t="s">
        <v>1014</v>
      </c>
      <c r="B327" s="114" t="s">
        <v>1007</v>
      </c>
      <c r="C327" s="114">
        <v>3764</v>
      </c>
      <c r="D327" s="114" t="s">
        <v>1008</v>
      </c>
    </row>
    <row r="328" spans="1:4">
      <c r="A328" s="43" t="s">
        <v>1015</v>
      </c>
      <c r="B328" s="114" t="s">
        <v>1009</v>
      </c>
      <c r="C328" s="114">
        <v>601</v>
      </c>
      <c r="D328" s="114" t="s">
        <v>1010</v>
      </c>
    </row>
    <row r="329" spans="1:4">
      <c r="A329" s="43" t="s">
        <v>1026</v>
      </c>
      <c r="B329" s="114" t="s">
        <v>1027</v>
      </c>
      <c r="C329" s="114">
        <v>1898</v>
      </c>
      <c r="D329" s="114" t="s">
        <v>1028</v>
      </c>
    </row>
    <row r="330" spans="1:4">
      <c r="A330" s="43" t="s">
        <v>1029</v>
      </c>
      <c r="B330" s="114" t="s">
        <v>1030</v>
      </c>
      <c r="C330" s="114">
        <v>1340</v>
      </c>
      <c r="D330" s="114" t="s">
        <v>1031</v>
      </c>
    </row>
    <row r="331" spans="1:4">
      <c r="A331" s="43" t="s">
        <v>1032</v>
      </c>
      <c r="B331" s="114" t="s">
        <v>1033</v>
      </c>
      <c r="C331" s="114">
        <v>1911</v>
      </c>
      <c r="D331" s="114" t="s">
        <v>1034</v>
      </c>
    </row>
    <row r="332" spans="1:4">
      <c r="A332" s="43" t="s">
        <v>1049</v>
      </c>
      <c r="B332" s="114" t="s">
        <v>1050</v>
      </c>
      <c r="C332" s="114">
        <v>815</v>
      </c>
      <c r="D332" s="114" t="s">
        <v>1051</v>
      </c>
    </row>
    <row r="333" spans="1:4">
      <c r="A333" s="43" t="s">
        <v>1052</v>
      </c>
      <c r="B333" s="114" t="s">
        <v>1053</v>
      </c>
      <c r="C333" s="114">
        <v>815</v>
      </c>
      <c r="D333" s="114" t="s">
        <v>1051</v>
      </c>
    </row>
    <row r="334" spans="1:4">
      <c r="A334" s="43" t="s">
        <v>1054</v>
      </c>
      <c r="B334" s="114" t="s">
        <v>1055</v>
      </c>
      <c r="C334" s="114">
        <v>815</v>
      </c>
      <c r="D334" s="114" t="s">
        <v>1051</v>
      </c>
    </row>
    <row r="335" spans="1:4">
      <c r="A335" s="43" t="s">
        <v>1056</v>
      </c>
      <c r="B335" s="114" t="s">
        <v>1276</v>
      </c>
      <c r="C335" s="114">
        <v>2483</v>
      </c>
      <c r="D335" s="114" t="s">
        <v>1057</v>
      </c>
    </row>
    <row r="336" spans="1:4">
      <c r="A336" s="43" t="s">
        <v>1058</v>
      </c>
      <c r="B336" s="114" t="s">
        <v>1276</v>
      </c>
      <c r="C336" s="114">
        <v>4961</v>
      </c>
      <c r="D336" s="114" t="s">
        <v>1059</v>
      </c>
    </row>
    <row r="337" spans="1:4">
      <c r="A337" s="43" t="s">
        <v>1060</v>
      </c>
      <c r="B337" s="114" t="s">
        <v>1061</v>
      </c>
      <c r="C337" s="114">
        <v>1265</v>
      </c>
      <c r="D337" s="114" t="s">
        <v>1062</v>
      </c>
    </row>
    <row r="338" spans="1:4" ht="12.75" customHeight="1">
      <c r="A338" s="43" t="s">
        <v>1063</v>
      </c>
      <c r="B338" s="114" t="s">
        <v>1064</v>
      </c>
      <c r="C338" s="114">
        <v>1601</v>
      </c>
      <c r="D338" s="114" t="s">
        <v>1065</v>
      </c>
    </row>
    <row r="339" spans="1:4" ht="12.75" customHeight="1">
      <c r="A339" s="43" t="s">
        <v>1066</v>
      </c>
      <c r="B339" s="114" t="s">
        <v>1067</v>
      </c>
      <c r="C339" s="114">
        <v>681</v>
      </c>
      <c r="D339" s="114" t="s">
        <v>1068</v>
      </c>
    </row>
    <row r="340" spans="1:4" ht="12.75" customHeight="1">
      <c r="A340" s="43" t="s">
        <v>1069</v>
      </c>
      <c r="B340" s="114" t="s">
        <v>1070</v>
      </c>
      <c r="C340" s="114">
        <v>4083</v>
      </c>
      <c r="D340" s="114" t="s">
        <v>1071</v>
      </c>
    </row>
    <row r="341" spans="1:4" ht="12.75" customHeight="1">
      <c r="A341" s="43" t="s">
        <v>1331</v>
      </c>
      <c r="B341" s="114" t="s">
        <v>1332</v>
      </c>
      <c r="C341" s="114">
        <v>3948</v>
      </c>
      <c r="D341" s="114" t="s">
        <v>1333</v>
      </c>
    </row>
    <row r="342" spans="1:4">
      <c r="A342" s="43" t="s">
        <v>1334</v>
      </c>
      <c r="B342" s="114" t="s">
        <v>1335</v>
      </c>
      <c r="C342" s="114">
        <v>1512</v>
      </c>
      <c r="D342" s="114" t="s">
        <v>1330</v>
      </c>
    </row>
    <row r="343" spans="1:4">
      <c r="A343" s="43" t="s">
        <v>1336</v>
      </c>
      <c r="B343" s="114" t="s">
        <v>1337</v>
      </c>
      <c r="C343" s="114">
        <v>1512</v>
      </c>
      <c r="D343" s="114" t="s">
        <v>1330</v>
      </c>
    </row>
    <row r="344" spans="1:4" ht="12.75" customHeight="1"/>
    <row r="345" spans="1:4" ht="12.75" customHeight="1"/>
    <row r="346" spans="1:4" ht="12.75" customHeight="1">
      <c r="A346" s="355" t="s">
        <v>441</v>
      </c>
      <c r="B346" s="356" t="s">
        <v>555</v>
      </c>
      <c r="C346" s="356" t="s">
        <v>433</v>
      </c>
      <c r="D346" s="382" t="s">
        <v>621</v>
      </c>
    </row>
    <row r="347" spans="1:4" ht="12.75" customHeight="1">
      <c r="A347" s="114"/>
      <c r="B347" s="114" t="s">
        <v>556</v>
      </c>
      <c r="C347" s="380"/>
      <c r="D347" s="114"/>
    </row>
    <row r="348" spans="1:4" ht="12.75" customHeight="1">
      <c r="A348" s="364" t="s">
        <v>562</v>
      </c>
      <c r="B348" s="114" t="s">
        <v>563</v>
      </c>
      <c r="C348" s="380">
        <v>5073</v>
      </c>
      <c r="D348" s="114" t="s">
        <v>675</v>
      </c>
    </row>
    <row r="349" spans="1:4" ht="12.75" customHeight="1">
      <c r="A349" s="364" t="s">
        <v>564</v>
      </c>
      <c r="B349" s="114" t="s">
        <v>565</v>
      </c>
      <c r="C349" s="381">
        <v>5586</v>
      </c>
      <c r="D349" s="114" t="s">
        <v>676</v>
      </c>
    </row>
    <row r="350" spans="1:4" ht="12.75" customHeight="1">
      <c r="A350" s="364" t="s">
        <v>925</v>
      </c>
      <c r="B350" s="114" t="s">
        <v>926</v>
      </c>
      <c r="C350" s="381">
        <v>6384</v>
      </c>
      <c r="D350" s="114" t="s">
        <v>927</v>
      </c>
    </row>
    <row r="351" spans="1:4" ht="12.75" customHeight="1">
      <c r="A351" s="114"/>
      <c r="B351" s="114" t="s">
        <v>619</v>
      </c>
      <c r="C351" s="380"/>
      <c r="D351" s="114"/>
    </row>
    <row r="352" spans="1:4" ht="12.75" customHeight="1">
      <c r="A352" s="114" t="s">
        <v>1301</v>
      </c>
      <c r="B352" s="114" t="s">
        <v>1302</v>
      </c>
      <c r="C352" s="380">
        <v>8436</v>
      </c>
      <c r="D352" s="114" t="s">
        <v>1303</v>
      </c>
    </row>
    <row r="353" spans="1:4">
      <c r="A353" s="114" t="s">
        <v>812</v>
      </c>
      <c r="B353" s="114" t="s">
        <v>620</v>
      </c>
      <c r="C353" s="380">
        <v>12650</v>
      </c>
      <c r="D353" s="114" t="s">
        <v>813</v>
      </c>
    </row>
    <row r="354" spans="1:4">
      <c r="A354" s="114" t="s">
        <v>1304</v>
      </c>
      <c r="B354" s="114" t="s">
        <v>620</v>
      </c>
      <c r="C354" s="380">
        <v>12650</v>
      </c>
      <c r="D354" s="114" t="s">
        <v>813</v>
      </c>
    </row>
    <row r="355" spans="1:4">
      <c r="A355" s="114" t="s">
        <v>959</v>
      </c>
      <c r="B355" s="114" t="s">
        <v>559</v>
      </c>
      <c r="C355" s="380">
        <v>17760</v>
      </c>
      <c r="D355" s="114" t="s">
        <v>960</v>
      </c>
    </row>
    <row r="356" spans="1:4">
      <c r="A356" s="114" t="s">
        <v>961</v>
      </c>
      <c r="B356" s="114" t="s">
        <v>962</v>
      </c>
      <c r="C356" s="380">
        <v>14880</v>
      </c>
      <c r="D356" s="114" t="s">
        <v>963</v>
      </c>
    </row>
    <row r="357" spans="1:4">
      <c r="A357" s="114" t="s">
        <v>964</v>
      </c>
      <c r="B357" s="114" t="s">
        <v>965</v>
      </c>
      <c r="C357" s="114">
        <v>16620</v>
      </c>
      <c r="D357" s="395" t="s">
        <v>966</v>
      </c>
    </row>
    <row r="358" spans="1:4">
      <c r="A358" s="114" t="s">
        <v>967</v>
      </c>
      <c r="B358" s="114" t="s">
        <v>968</v>
      </c>
      <c r="C358" s="114">
        <v>17760</v>
      </c>
      <c r="D358" s="114" t="s">
        <v>960</v>
      </c>
    </row>
    <row r="359" spans="1:4">
      <c r="A359" s="114" t="s">
        <v>969</v>
      </c>
      <c r="B359" s="114" t="s">
        <v>970</v>
      </c>
      <c r="C359" s="114">
        <v>19560</v>
      </c>
      <c r="D359" s="114" t="s">
        <v>960</v>
      </c>
    </row>
    <row r="360" spans="1:4">
      <c r="A360" s="114" t="s">
        <v>971</v>
      </c>
      <c r="B360" s="114" t="s">
        <v>972</v>
      </c>
      <c r="C360" s="114">
        <v>21310</v>
      </c>
      <c r="D360" s="114" t="s">
        <v>960</v>
      </c>
    </row>
    <row r="361" spans="1:4">
      <c r="A361" s="114" t="s">
        <v>973</v>
      </c>
      <c r="B361" s="114" t="s">
        <v>974</v>
      </c>
      <c r="C361" s="114">
        <v>23100</v>
      </c>
      <c r="D361" s="114" t="s">
        <v>960</v>
      </c>
    </row>
    <row r="362" spans="1:4">
      <c r="A362" s="114" t="s">
        <v>975</v>
      </c>
      <c r="B362" s="114" t="s">
        <v>976</v>
      </c>
      <c r="C362" s="114">
        <v>24860</v>
      </c>
      <c r="D362" s="114" t="s">
        <v>960</v>
      </c>
    </row>
    <row r="363" spans="1:4">
      <c r="A363" s="114" t="s">
        <v>977</v>
      </c>
      <c r="B363" s="114" t="s">
        <v>978</v>
      </c>
      <c r="C363" s="114">
        <v>26640</v>
      </c>
      <c r="D363" s="114" t="s">
        <v>960</v>
      </c>
    </row>
    <row r="364" spans="1:4">
      <c r="A364" s="114" t="s">
        <v>979</v>
      </c>
      <c r="B364" s="114" t="s">
        <v>980</v>
      </c>
      <c r="C364" s="114">
        <v>28420</v>
      </c>
      <c r="D364" s="114" t="s">
        <v>960</v>
      </c>
    </row>
    <row r="365" spans="1:4">
      <c r="A365" s="114" t="s">
        <v>981</v>
      </c>
      <c r="B365" s="114" t="s">
        <v>982</v>
      </c>
      <c r="C365" s="114">
        <v>30200</v>
      </c>
      <c r="D365" s="114" t="s">
        <v>960</v>
      </c>
    </row>
    <row r="366" spans="1:4">
      <c r="A366" s="114" t="s">
        <v>983</v>
      </c>
      <c r="B366" s="114" t="s">
        <v>557</v>
      </c>
      <c r="C366" s="380">
        <v>8640</v>
      </c>
      <c r="D366" s="114" t="s">
        <v>984</v>
      </c>
    </row>
    <row r="367" spans="1:4">
      <c r="A367" s="114" t="s">
        <v>985</v>
      </c>
      <c r="B367" s="114" t="s">
        <v>558</v>
      </c>
      <c r="C367" s="380">
        <v>640</v>
      </c>
      <c r="D367" s="114" t="s">
        <v>986</v>
      </c>
    </row>
    <row r="368" spans="1:4">
      <c r="A368" s="114"/>
      <c r="B368" s="114" t="s">
        <v>561</v>
      </c>
      <c r="C368" s="380"/>
      <c r="D368" s="114"/>
    </row>
    <row r="369" spans="1:4">
      <c r="A369" s="114"/>
      <c r="B369" s="114" t="s">
        <v>560</v>
      </c>
      <c r="C369" s="380"/>
      <c r="D369" s="114"/>
    </row>
    <row r="370" spans="1:4">
      <c r="A370" s="400" t="s">
        <v>859</v>
      </c>
      <c r="B370" s="401" t="s">
        <v>939</v>
      </c>
      <c r="C370" s="401">
        <v>9120</v>
      </c>
      <c r="D370" s="401" t="s">
        <v>940</v>
      </c>
    </row>
    <row r="371" spans="1:4">
      <c r="A371" s="400" t="s">
        <v>860</v>
      </c>
      <c r="B371" s="401" t="s">
        <v>941</v>
      </c>
      <c r="C371" s="401">
        <v>9600</v>
      </c>
      <c r="D371" s="401" t="s">
        <v>942</v>
      </c>
    </row>
    <row r="372" spans="1:4">
      <c r="A372" s="400" t="s">
        <v>861</v>
      </c>
      <c r="B372" s="401" t="s">
        <v>943</v>
      </c>
      <c r="C372" s="401">
        <v>14880</v>
      </c>
      <c r="D372" s="401" t="s">
        <v>944</v>
      </c>
    </row>
    <row r="373" spans="1:4">
      <c r="A373" s="400" t="s">
        <v>862</v>
      </c>
      <c r="B373" s="401" t="s">
        <v>945</v>
      </c>
      <c r="C373" s="401">
        <v>15360</v>
      </c>
      <c r="D373" s="401" t="s">
        <v>946</v>
      </c>
    </row>
    <row r="374" spans="1:4">
      <c r="A374" s="400" t="s">
        <v>863</v>
      </c>
      <c r="B374" s="401" t="s">
        <v>947</v>
      </c>
      <c r="C374" s="401">
        <v>15840</v>
      </c>
      <c r="D374" s="401" t="s">
        <v>948</v>
      </c>
    </row>
    <row r="375" spans="1:4">
      <c r="A375" s="400" t="s">
        <v>949</v>
      </c>
      <c r="B375" s="401" t="s">
        <v>950</v>
      </c>
      <c r="C375" s="401">
        <v>14880</v>
      </c>
      <c r="D375" s="401" t="s">
        <v>951</v>
      </c>
    </row>
    <row r="376" spans="1:4">
      <c r="A376" s="400" t="s">
        <v>952</v>
      </c>
      <c r="B376" s="401" t="s">
        <v>953</v>
      </c>
      <c r="C376" s="401">
        <v>15360</v>
      </c>
      <c r="D376" s="401" t="s">
        <v>946</v>
      </c>
    </row>
    <row r="377" spans="1:4">
      <c r="A377" s="400" t="s">
        <v>864</v>
      </c>
      <c r="B377" s="401" t="s">
        <v>954</v>
      </c>
      <c r="C377" s="401">
        <v>9120</v>
      </c>
      <c r="D377" s="401" t="s">
        <v>940</v>
      </c>
    </row>
    <row r="378" spans="1:4">
      <c r="A378" s="400" t="s">
        <v>865</v>
      </c>
      <c r="B378" s="401" t="s">
        <v>955</v>
      </c>
      <c r="C378" s="401">
        <v>9600</v>
      </c>
      <c r="D378" s="401" t="s">
        <v>942</v>
      </c>
    </row>
    <row r="379" spans="1:4">
      <c r="A379" s="400" t="s">
        <v>866</v>
      </c>
      <c r="B379" s="401" t="s">
        <v>956</v>
      </c>
      <c r="C379" s="401">
        <v>14880</v>
      </c>
      <c r="D379" s="401" t="s">
        <v>944</v>
      </c>
    </row>
    <row r="380" spans="1:4">
      <c r="A380" s="400" t="s">
        <v>867</v>
      </c>
      <c r="B380" s="401" t="s">
        <v>957</v>
      </c>
      <c r="C380" s="401">
        <v>15360</v>
      </c>
      <c r="D380" s="401" t="s">
        <v>946</v>
      </c>
    </row>
    <row r="381" spans="1:4">
      <c r="A381" s="419" t="s">
        <v>868</v>
      </c>
      <c r="B381" s="420" t="s">
        <v>958</v>
      </c>
      <c r="C381" s="420">
        <v>15840</v>
      </c>
      <c r="D381" s="420" t="s">
        <v>948</v>
      </c>
    </row>
    <row r="382" spans="1:4">
      <c r="A382" s="114"/>
      <c r="B382" s="114"/>
      <c r="C382" s="114"/>
      <c r="D382" s="114"/>
    </row>
    <row r="383" spans="1:4">
      <c r="A383" s="114" t="s">
        <v>1298</v>
      </c>
      <c r="B383" s="114" t="s">
        <v>1299</v>
      </c>
      <c r="C383" s="114">
        <v>1850</v>
      </c>
      <c r="D383" s="114" t="s">
        <v>1300</v>
      </c>
    </row>
    <row r="384" spans="1:4">
      <c r="A384" s="114"/>
      <c r="B384" s="114"/>
      <c r="C384" s="114"/>
      <c r="D384" s="114"/>
    </row>
    <row r="385" spans="1:4">
      <c r="A385" s="43" t="s">
        <v>1338</v>
      </c>
      <c r="B385" s="114" t="s">
        <v>1339</v>
      </c>
      <c r="C385" s="114">
        <v>11800</v>
      </c>
      <c r="D385" s="114" t="s">
        <v>1340</v>
      </c>
    </row>
    <row r="386" spans="1:4">
      <c r="A386" s="114" t="s">
        <v>1341</v>
      </c>
      <c r="B386" s="114" t="s">
        <v>1342</v>
      </c>
      <c r="C386" s="114"/>
      <c r="D386" s="114" t="s">
        <v>1343</v>
      </c>
    </row>
    <row r="387" spans="1:4">
      <c r="A387" s="114" t="s">
        <v>1344</v>
      </c>
      <c r="B387" s="114" t="s">
        <v>1345</v>
      </c>
      <c r="C387" s="114"/>
      <c r="D387" s="114" t="s">
        <v>1346</v>
      </c>
    </row>
    <row r="388" spans="1:4">
      <c r="A388" s="114"/>
      <c r="B388" s="114"/>
      <c r="C388" s="114"/>
      <c r="D388" s="114"/>
    </row>
    <row r="389" spans="1:4">
      <c r="A389" s="114" t="s">
        <v>1360</v>
      </c>
      <c r="B389" s="114"/>
      <c r="C389" s="114"/>
      <c r="D389" t="s">
        <v>1359</v>
      </c>
    </row>
    <row r="390" spans="1:4">
      <c r="A390" s="114"/>
      <c r="B390" s="114" t="s">
        <v>1368</v>
      </c>
      <c r="C390" s="114">
        <v>19264</v>
      </c>
      <c r="D390" s="114" t="s">
        <v>1369</v>
      </c>
    </row>
    <row r="391" spans="1:4">
      <c r="A391" s="114"/>
      <c r="B391" s="114" t="s">
        <v>1370</v>
      </c>
      <c r="C391" s="114">
        <v>13011</v>
      </c>
      <c r="D391" s="114" t="s">
        <v>1369</v>
      </c>
    </row>
    <row r="392" spans="1:4">
      <c r="A392" s="114"/>
      <c r="B392" s="114" t="s">
        <v>1371</v>
      </c>
      <c r="C392" s="114"/>
      <c r="D392" s="114"/>
    </row>
    <row r="393" spans="1:4">
      <c r="A393" s="114"/>
      <c r="B393" s="114"/>
      <c r="C393" s="114"/>
      <c r="D393" s="114"/>
    </row>
    <row r="394" spans="1:4">
      <c r="A394" s="114"/>
      <c r="B394" s="114"/>
      <c r="C394" s="114"/>
      <c r="D394" s="114"/>
    </row>
    <row r="398" spans="1:4">
      <c r="A398" s="36"/>
      <c r="B398" s="952"/>
      <c r="C398" s="429"/>
      <c r="D398" s="953"/>
    </row>
    <row r="399" spans="1:4">
      <c r="A399" s="36"/>
      <c r="B399" s="952"/>
      <c r="C399" s="429"/>
      <c r="D399" s="953"/>
    </row>
    <row r="400" spans="1:4">
      <c r="A400" s="36"/>
      <c r="B400" s="952"/>
      <c r="C400" s="429"/>
      <c r="D400" s="953"/>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U46"/>
  <sheetViews>
    <sheetView zoomScale="80" zoomScaleNormal="80" workbookViewId="0">
      <selection activeCell="A3" sqref="A3:N5"/>
    </sheetView>
  </sheetViews>
  <sheetFormatPr defaultRowHeight="13"/>
  <sheetData>
    <row r="1" spans="1:15" ht="13.5" customHeight="1">
      <c r="K1" s="495" t="s">
        <v>1366</v>
      </c>
      <c r="L1" s="495"/>
      <c r="M1" s="495"/>
      <c r="N1" s="495"/>
    </row>
    <row r="2" spans="1:15" ht="13.5" customHeight="1">
      <c r="K2" s="495"/>
      <c r="L2" s="495"/>
      <c r="M2" s="495"/>
      <c r="N2" s="495"/>
      <c r="O2" t="s">
        <v>52</v>
      </c>
    </row>
    <row r="3" spans="1:15">
      <c r="A3" s="508" t="s">
        <v>78</v>
      </c>
      <c r="B3" s="508"/>
      <c r="C3" s="508"/>
      <c r="D3" s="508"/>
      <c r="E3" s="508"/>
      <c r="F3" s="508"/>
      <c r="G3" s="508"/>
      <c r="H3" s="508"/>
      <c r="I3" s="508"/>
      <c r="J3" s="508"/>
      <c r="K3" s="508"/>
      <c r="L3" s="508"/>
      <c r="M3" s="508"/>
      <c r="N3" s="508"/>
    </row>
    <row r="4" spans="1:15">
      <c r="A4" s="508"/>
      <c r="B4" s="508"/>
      <c r="C4" s="508"/>
      <c r="D4" s="508"/>
      <c r="E4" s="508"/>
      <c r="F4" s="508"/>
      <c r="G4" s="508"/>
      <c r="H4" s="508"/>
      <c r="I4" s="508"/>
      <c r="J4" s="508"/>
      <c r="K4" s="508"/>
      <c r="L4" s="508"/>
      <c r="M4" s="508"/>
      <c r="N4" s="508"/>
    </row>
    <row r="5" spans="1:15">
      <c r="A5" s="508"/>
      <c r="B5" s="508"/>
      <c r="C5" s="508"/>
      <c r="D5" s="508"/>
      <c r="E5" s="508"/>
      <c r="F5" s="508"/>
      <c r="G5" s="508"/>
      <c r="H5" s="508"/>
      <c r="I5" s="508"/>
      <c r="J5" s="508"/>
      <c r="K5" s="508"/>
      <c r="L5" s="508"/>
      <c r="M5" s="508"/>
      <c r="N5" s="508"/>
    </row>
    <row r="7" spans="1:15" ht="13.5" customHeight="1">
      <c r="A7" s="504">
        <f>基本情報!B3</f>
        <v>0</v>
      </c>
      <c r="B7" s="504"/>
      <c r="C7" s="504"/>
      <c r="D7" s="504"/>
      <c r="E7" s="504" t="s">
        <v>79</v>
      </c>
      <c r="F7" s="504"/>
      <c r="O7" t="s">
        <v>53</v>
      </c>
    </row>
    <row r="8" spans="1:15" ht="13.5" customHeight="1">
      <c r="A8" s="504"/>
      <c r="B8" s="504"/>
      <c r="C8" s="504"/>
      <c r="D8" s="504"/>
      <c r="E8" s="504"/>
      <c r="F8" s="504"/>
    </row>
    <row r="9" spans="1:15">
      <c r="A9" s="509"/>
      <c r="B9" s="509"/>
      <c r="C9" s="509"/>
      <c r="D9" s="509"/>
      <c r="E9" s="509"/>
      <c r="F9" s="509"/>
    </row>
    <row r="11" spans="1:15">
      <c r="A11" s="510" t="s">
        <v>44</v>
      </c>
      <c r="B11" s="510"/>
      <c r="C11" s="510"/>
      <c r="D11" s="510"/>
      <c r="E11" s="510"/>
      <c r="F11" s="510"/>
      <c r="G11" s="510"/>
      <c r="H11" s="510"/>
      <c r="I11" s="510"/>
      <c r="J11" s="510"/>
      <c r="K11" s="510"/>
      <c r="L11" s="510"/>
      <c r="M11" s="510"/>
      <c r="N11" s="510"/>
    </row>
    <row r="12" spans="1:15">
      <c r="A12" s="510"/>
      <c r="B12" s="510"/>
      <c r="C12" s="510"/>
      <c r="D12" s="510"/>
      <c r="E12" s="510"/>
      <c r="F12" s="510"/>
      <c r="G12" s="510"/>
      <c r="H12" s="510"/>
      <c r="I12" s="510"/>
      <c r="J12" s="510"/>
      <c r="K12" s="510"/>
      <c r="L12" s="510"/>
      <c r="M12" s="510"/>
      <c r="N12" s="510"/>
    </row>
    <row r="14" spans="1:15" ht="13.5" customHeight="1">
      <c r="A14" s="502" t="s">
        <v>45</v>
      </c>
      <c r="B14" s="502"/>
      <c r="C14" s="502"/>
      <c r="D14" s="506">
        <f>お客様提示用内訳書!H50</f>
        <v>0</v>
      </c>
      <c r="E14" s="506"/>
      <c r="F14" s="506"/>
      <c r="G14" s="504" t="s">
        <v>46</v>
      </c>
      <c r="H14" s="115"/>
      <c r="O14" t="s">
        <v>54</v>
      </c>
    </row>
    <row r="15" spans="1:15" ht="14.25" customHeight="1" thickBot="1">
      <c r="A15" s="503"/>
      <c r="B15" s="503"/>
      <c r="C15" s="503"/>
      <c r="D15" s="507"/>
      <c r="E15" s="507"/>
      <c r="F15" s="507"/>
      <c r="G15" s="505"/>
      <c r="H15" s="116"/>
    </row>
    <row r="16" spans="1:15" ht="13.5" thickTop="1"/>
    <row r="19" spans="1:21">
      <c r="A19" s="511" t="s">
        <v>47</v>
      </c>
      <c r="B19" s="511"/>
      <c r="C19" s="511"/>
      <c r="D19" s="500">
        <f>基本情報!B3</f>
        <v>0</v>
      </c>
      <c r="E19" s="496"/>
      <c r="F19" s="496"/>
      <c r="G19" s="496" t="s">
        <v>57</v>
      </c>
      <c r="H19" s="496"/>
      <c r="I19" s="497"/>
      <c r="O19" t="s">
        <v>55</v>
      </c>
    </row>
    <row r="20" spans="1:21">
      <c r="A20" s="511"/>
      <c r="B20" s="511"/>
      <c r="C20" s="511"/>
      <c r="D20" s="501"/>
      <c r="E20" s="498"/>
      <c r="F20" s="498"/>
      <c r="G20" s="498"/>
      <c r="H20" s="498"/>
      <c r="I20" s="499"/>
    </row>
    <row r="21" spans="1:21" ht="13.5" customHeight="1">
      <c r="A21" s="511" t="s">
        <v>48</v>
      </c>
      <c r="B21" s="511"/>
      <c r="C21" s="511"/>
      <c r="D21" s="511">
        <f>基本情報!B5</f>
        <v>0</v>
      </c>
      <c r="E21" s="496"/>
      <c r="F21" s="496"/>
      <c r="G21" s="496"/>
      <c r="H21" s="496"/>
      <c r="I21" s="497"/>
      <c r="O21" t="s">
        <v>56</v>
      </c>
    </row>
    <row r="22" spans="1:21" ht="13.5" customHeight="1">
      <c r="A22" s="511"/>
      <c r="B22" s="511"/>
      <c r="C22" s="511"/>
      <c r="D22" s="501"/>
      <c r="E22" s="498"/>
      <c r="F22" s="498"/>
      <c r="G22" s="498"/>
      <c r="H22" s="498"/>
      <c r="I22" s="499"/>
    </row>
    <row r="23" spans="1:21">
      <c r="A23" s="511" t="s">
        <v>49</v>
      </c>
      <c r="B23" s="511"/>
      <c r="C23" s="511"/>
      <c r="D23" s="513"/>
      <c r="E23" s="513"/>
      <c r="F23" s="513"/>
      <c r="G23" s="513"/>
      <c r="H23" s="513"/>
      <c r="I23" s="513"/>
    </row>
    <row r="24" spans="1:21">
      <c r="A24" s="511"/>
      <c r="B24" s="511"/>
      <c r="C24" s="511"/>
      <c r="D24" s="513"/>
      <c r="E24" s="513"/>
      <c r="F24" s="513"/>
      <c r="G24" s="513"/>
      <c r="H24" s="513"/>
      <c r="I24" s="513"/>
    </row>
    <row r="25" spans="1:21">
      <c r="A25" s="511" t="s">
        <v>51</v>
      </c>
      <c r="B25" s="511"/>
      <c r="C25" s="511"/>
      <c r="D25" s="513"/>
      <c r="E25" s="513"/>
      <c r="F25" s="513"/>
      <c r="G25" s="513"/>
      <c r="H25" s="513"/>
      <c r="I25" s="513"/>
    </row>
    <row r="26" spans="1:21">
      <c r="A26" s="511"/>
      <c r="B26" s="511"/>
      <c r="C26" s="511"/>
      <c r="D26" s="513"/>
      <c r="E26" s="513"/>
      <c r="F26" s="513"/>
      <c r="G26" s="513"/>
      <c r="H26" s="513"/>
      <c r="I26" s="513"/>
      <c r="O26" t="s">
        <v>76</v>
      </c>
    </row>
    <row r="27" spans="1:21">
      <c r="A27" s="511" t="s">
        <v>50</v>
      </c>
      <c r="B27" s="511"/>
      <c r="C27" s="511"/>
      <c r="D27" s="513"/>
      <c r="E27" s="513"/>
      <c r="F27" s="513"/>
      <c r="G27" s="513"/>
      <c r="H27" s="513"/>
      <c r="I27" s="513"/>
    </row>
    <row r="28" spans="1:21">
      <c r="A28" s="511"/>
      <c r="B28" s="511"/>
      <c r="C28" s="511"/>
      <c r="D28" s="513"/>
      <c r="E28" s="513"/>
      <c r="F28" s="513"/>
      <c r="G28" s="513"/>
      <c r="H28" s="513"/>
      <c r="I28" s="513"/>
      <c r="O28" t="s">
        <v>77</v>
      </c>
    </row>
    <row r="32" spans="1:21" ht="13.25" customHeight="1">
      <c r="I32" s="512" t="s">
        <v>1113</v>
      </c>
      <c r="J32" s="512"/>
      <c r="K32" s="512"/>
      <c r="L32" s="512"/>
      <c r="M32" s="512"/>
      <c r="N32" s="512"/>
      <c r="P32" s="512" t="s">
        <v>1231</v>
      </c>
      <c r="Q32" s="514"/>
      <c r="R32" s="514"/>
      <c r="S32" s="514"/>
      <c r="T32" s="514"/>
      <c r="U32" s="515"/>
    </row>
    <row r="33" spans="1:21">
      <c r="A33" s="513" t="s">
        <v>58</v>
      </c>
      <c r="B33" s="513" t="s">
        <v>59</v>
      </c>
      <c r="I33" s="512"/>
      <c r="J33" s="512"/>
      <c r="K33" s="512"/>
      <c r="L33" s="512"/>
      <c r="M33" s="512"/>
      <c r="N33" s="512"/>
      <c r="P33" s="514"/>
      <c r="Q33" s="514"/>
      <c r="R33" s="514"/>
      <c r="S33" s="514"/>
      <c r="T33" s="514"/>
      <c r="U33" s="515"/>
    </row>
    <row r="34" spans="1:21">
      <c r="A34" s="513"/>
      <c r="B34" s="513"/>
      <c r="I34" s="512"/>
      <c r="J34" s="512"/>
      <c r="K34" s="512"/>
      <c r="L34" s="512"/>
      <c r="M34" s="512"/>
      <c r="N34" s="512"/>
      <c r="P34" s="514"/>
      <c r="Q34" s="514"/>
      <c r="R34" s="514"/>
      <c r="S34" s="514"/>
      <c r="T34" s="514"/>
      <c r="U34" s="515"/>
    </row>
    <row r="35" spans="1:21">
      <c r="A35" s="513"/>
      <c r="B35" s="513"/>
      <c r="I35" s="512"/>
      <c r="J35" s="512"/>
      <c r="K35" s="512"/>
      <c r="L35" s="512"/>
      <c r="M35" s="512"/>
      <c r="N35" s="512"/>
      <c r="P35" s="514"/>
      <c r="Q35" s="514"/>
      <c r="R35" s="514"/>
      <c r="S35" s="514"/>
      <c r="T35" s="514"/>
      <c r="U35" s="515"/>
    </row>
    <row r="36" spans="1:21">
      <c r="A36" s="513"/>
      <c r="B36" s="513"/>
      <c r="I36" s="512"/>
      <c r="J36" s="512"/>
      <c r="K36" s="512"/>
      <c r="L36" s="512"/>
      <c r="M36" s="512"/>
      <c r="N36" s="512"/>
      <c r="P36" s="515"/>
      <c r="Q36" s="515"/>
      <c r="R36" s="515"/>
      <c r="S36" s="515"/>
      <c r="T36" s="515"/>
      <c r="U36" s="515"/>
    </row>
    <row r="37" spans="1:21">
      <c r="A37" s="513"/>
      <c r="B37" s="513"/>
      <c r="I37" s="512"/>
      <c r="J37" s="512"/>
      <c r="K37" s="512"/>
      <c r="L37" s="512"/>
      <c r="M37" s="512"/>
      <c r="N37" s="512"/>
      <c r="P37" s="515"/>
      <c r="Q37" s="515"/>
      <c r="R37" s="515"/>
      <c r="S37" s="515"/>
      <c r="T37" s="515"/>
      <c r="U37" s="515"/>
    </row>
    <row r="38" spans="1:21">
      <c r="A38" s="513"/>
      <c r="B38" s="513"/>
      <c r="I38" s="512"/>
      <c r="J38" s="512"/>
      <c r="K38" s="512"/>
      <c r="L38" s="512"/>
      <c r="M38" s="512"/>
      <c r="N38" s="512"/>
      <c r="P38" s="515"/>
      <c r="Q38" s="515"/>
      <c r="R38" s="515"/>
      <c r="S38" s="515"/>
      <c r="T38" s="515"/>
      <c r="U38" s="515"/>
    </row>
    <row r="40" spans="1:21">
      <c r="P40" s="512" t="s">
        <v>1278</v>
      </c>
      <c r="Q40" s="512"/>
      <c r="R40" s="512"/>
      <c r="S40" s="512"/>
      <c r="T40" s="512"/>
      <c r="U40" s="512"/>
    </row>
    <row r="41" spans="1:21">
      <c r="P41" s="512"/>
      <c r="Q41" s="512"/>
      <c r="R41" s="512"/>
      <c r="S41" s="512"/>
      <c r="T41" s="512"/>
      <c r="U41" s="512"/>
    </row>
    <row r="42" spans="1:21">
      <c r="P42" s="512"/>
      <c r="Q42" s="512"/>
      <c r="R42" s="512"/>
      <c r="S42" s="512"/>
      <c r="T42" s="512"/>
      <c r="U42" s="512"/>
    </row>
    <row r="43" spans="1:21">
      <c r="P43" s="512"/>
      <c r="Q43" s="512"/>
      <c r="R43" s="512"/>
      <c r="S43" s="512"/>
      <c r="T43" s="512"/>
      <c r="U43" s="512"/>
    </row>
    <row r="44" spans="1:21">
      <c r="P44" s="512"/>
      <c r="Q44" s="512"/>
      <c r="R44" s="512"/>
      <c r="S44" s="512"/>
      <c r="T44" s="512"/>
      <c r="U44" s="512"/>
    </row>
    <row r="45" spans="1:21">
      <c r="P45" s="512"/>
      <c r="Q45" s="512"/>
      <c r="R45" s="512"/>
      <c r="S45" s="512"/>
      <c r="T45" s="512"/>
      <c r="U45" s="512"/>
    </row>
    <row r="46" spans="1:21">
      <c r="P46" s="512"/>
      <c r="Q46" s="512"/>
      <c r="R46" s="512"/>
      <c r="S46" s="512"/>
      <c r="T46" s="512"/>
      <c r="U46" s="512"/>
    </row>
  </sheetData>
  <mergeCells count="26">
    <mergeCell ref="P40:U46"/>
    <mergeCell ref="A21:C22"/>
    <mergeCell ref="D23:I24"/>
    <mergeCell ref="I32:N38"/>
    <mergeCell ref="D25:I26"/>
    <mergeCell ref="B35:B38"/>
    <mergeCell ref="A33:A34"/>
    <mergeCell ref="B33:B34"/>
    <mergeCell ref="A27:C28"/>
    <mergeCell ref="D27:I28"/>
    <mergeCell ref="P32:U38"/>
    <mergeCell ref="A35:A38"/>
    <mergeCell ref="D21:I22"/>
    <mergeCell ref="A23:C24"/>
    <mergeCell ref="A25:C26"/>
    <mergeCell ref="K1:N2"/>
    <mergeCell ref="G19:I20"/>
    <mergeCell ref="D19:F20"/>
    <mergeCell ref="A14:C15"/>
    <mergeCell ref="G14:G15"/>
    <mergeCell ref="D14:F15"/>
    <mergeCell ref="A3:N5"/>
    <mergeCell ref="E7:F9"/>
    <mergeCell ref="A7:D9"/>
    <mergeCell ref="A11:N12"/>
    <mergeCell ref="A19:C20"/>
  </mergeCells>
  <phoneticPr fontId="3"/>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pageSetUpPr fitToPage="1"/>
  </sheetPr>
  <dimension ref="A1:Z50"/>
  <sheetViews>
    <sheetView showZeros="0" zoomScale="85" zoomScaleNormal="85" workbookViewId="0">
      <selection activeCell="I2" sqref="I2:N5"/>
    </sheetView>
  </sheetViews>
  <sheetFormatPr defaultRowHeight="13"/>
  <cols>
    <col min="1" max="1" width="16.08984375" bestFit="1" customWidth="1"/>
    <col min="2" max="2" width="10.81640625" bestFit="1" customWidth="1"/>
    <col min="3" max="3" width="10.81640625" customWidth="1"/>
    <col min="4" max="4" width="35" customWidth="1"/>
    <col min="5" max="5" width="3.81640625" customWidth="1"/>
    <col min="6" max="6" width="3.08984375" customWidth="1"/>
    <col min="7" max="7" width="11.1796875" style="36" customWidth="1"/>
    <col min="8" max="8" width="11.1796875" customWidth="1"/>
    <col min="9" max="9" width="3.81640625" customWidth="1"/>
    <col min="10" max="10" width="3.08984375" customWidth="1"/>
    <col min="11" max="11" width="8.453125" customWidth="1"/>
    <col min="12" max="12" width="12.453125" customWidth="1"/>
    <col min="13" max="13" width="12.453125" style="46" customWidth="1"/>
    <col min="14" max="14" width="17.08984375" customWidth="1"/>
    <col min="15" max="15" width="9.1796875" style="70" bestFit="1" customWidth="1"/>
  </cols>
  <sheetData>
    <row r="1" spans="1:26" ht="28.5" thickTop="1">
      <c r="A1" s="466" t="s">
        <v>10</v>
      </c>
      <c r="B1" s="466"/>
      <c r="C1" s="466"/>
      <c r="D1" s="466"/>
      <c r="E1" s="466"/>
      <c r="F1" s="466"/>
      <c r="G1" s="466"/>
      <c r="H1" s="466"/>
      <c r="I1" s="466"/>
      <c r="J1" s="466"/>
      <c r="K1" s="466"/>
      <c r="L1" s="466"/>
      <c r="M1" s="495" t="s">
        <v>1367</v>
      </c>
      <c r="N1" s="495"/>
      <c r="O1" s="135" t="s">
        <v>75</v>
      </c>
      <c r="P1" s="52" t="s">
        <v>16</v>
      </c>
      <c r="Q1" s="53"/>
      <c r="R1" s="53"/>
      <c r="S1" s="54"/>
    </row>
    <row r="2" spans="1:26" ht="16.5" customHeight="1">
      <c r="A2" s="8"/>
      <c r="B2" s="8"/>
      <c r="C2" s="8"/>
      <c r="D2" s="10"/>
      <c r="E2" s="10"/>
      <c r="H2" s="7"/>
      <c r="I2" s="520" t="s">
        <v>1114</v>
      </c>
      <c r="J2" s="520"/>
      <c r="K2" s="520"/>
      <c r="L2" s="520"/>
      <c r="M2" s="520"/>
      <c r="N2" s="520"/>
      <c r="P2" s="55"/>
      <c r="Q2" t="s">
        <v>19</v>
      </c>
      <c r="S2" s="56"/>
      <c r="U2" s="520" t="s">
        <v>1230</v>
      </c>
      <c r="V2" s="520"/>
      <c r="W2" s="520"/>
      <c r="X2" s="520"/>
      <c r="Y2" s="520"/>
      <c r="Z2" s="520"/>
    </row>
    <row r="3" spans="1:26" ht="21.75" customHeight="1">
      <c r="A3" s="516" t="str">
        <f>IF(基本情報!B3="","",基本情報!B3)</f>
        <v/>
      </c>
      <c r="B3" s="516"/>
      <c r="C3" s="353"/>
      <c r="D3" s="10" t="s">
        <v>5</v>
      </c>
      <c r="E3" s="10"/>
      <c r="F3" s="6"/>
      <c r="H3" s="5"/>
      <c r="I3" s="520"/>
      <c r="J3" s="520"/>
      <c r="K3" s="520"/>
      <c r="L3" s="520"/>
      <c r="M3" s="520"/>
      <c r="N3" s="520"/>
      <c r="P3" s="55" t="s">
        <v>17</v>
      </c>
      <c r="Q3" s="133">
        <v>50</v>
      </c>
      <c r="R3" s="134" t="s">
        <v>18</v>
      </c>
      <c r="S3" s="56"/>
      <c r="U3" s="520"/>
      <c r="V3" s="520"/>
      <c r="W3" s="520"/>
      <c r="X3" s="520"/>
      <c r="Y3" s="520"/>
      <c r="Z3" s="520"/>
    </row>
    <row r="4" spans="1:26" ht="21.75" customHeight="1" thickBot="1">
      <c r="A4" s="464" t="s">
        <v>15</v>
      </c>
      <c r="B4" s="464"/>
      <c r="C4" s="349"/>
      <c r="D4" s="11" t="str">
        <f>IF(基本情報!B7="","",基本情報!B7)</f>
        <v/>
      </c>
      <c r="E4" s="21"/>
      <c r="F4" s="6"/>
      <c r="H4" s="5"/>
      <c r="I4" s="520"/>
      <c r="J4" s="520"/>
      <c r="K4" s="520"/>
      <c r="L4" s="520"/>
      <c r="M4" s="520"/>
      <c r="N4" s="520"/>
      <c r="P4" s="57"/>
      <c r="Q4" s="58"/>
      <c r="R4" s="58"/>
      <c r="S4" s="59"/>
      <c r="U4" s="520"/>
      <c r="V4" s="520"/>
      <c r="W4" s="520"/>
      <c r="X4" s="520"/>
      <c r="Y4" s="520"/>
      <c r="Z4" s="520"/>
    </row>
    <row r="5" spans="1:26" ht="21.75" customHeight="1" thickTop="1">
      <c r="A5" s="12" t="s">
        <v>11</v>
      </c>
      <c r="B5" s="517" t="str">
        <f>IF(基本情報!B5="","",基本情報!B5)</f>
        <v/>
      </c>
      <c r="C5" s="517"/>
      <c r="D5" s="517"/>
      <c r="E5" s="21"/>
      <c r="F5" s="8"/>
      <c r="H5" s="9"/>
      <c r="I5" s="520"/>
      <c r="J5" s="520"/>
      <c r="K5" s="520"/>
      <c r="L5" s="520"/>
      <c r="M5" s="520"/>
      <c r="N5" s="520"/>
      <c r="P5" s="53"/>
      <c r="Q5" s="53"/>
      <c r="R5" s="53"/>
      <c r="S5" s="53"/>
      <c r="U5" s="520"/>
      <c r="V5" s="520"/>
      <c r="W5" s="520"/>
      <c r="X5" s="520"/>
      <c r="Y5" s="520"/>
      <c r="Z5" s="520"/>
    </row>
    <row r="6" spans="1:26" ht="13.5" thickBot="1">
      <c r="N6" s="4"/>
    </row>
    <row r="7" spans="1:26" ht="30.75" customHeight="1">
      <c r="A7" s="468" t="s">
        <v>6</v>
      </c>
      <c r="B7" s="459" t="s">
        <v>7</v>
      </c>
      <c r="C7" s="459" t="s">
        <v>441</v>
      </c>
      <c r="D7" s="489" t="s">
        <v>4</v>
      </c>
      <c r="E7" s="483" t="s">
        <v>0</v>
      </c>
      <c r="F7" s="484"/>
      <c r="G7" s="518" t="s">
        <v>1</v>
      </c>
      <c r="H7" s="483" t="s">
        <v>2</v>
      </c>
      <c r="I7" s="461" t="s">
        <v>3</v>
      </c>
      <c r="J7" s="462"/>
      <c r="K7" s="462"/>
      <c r="L7" s="463"/>
      <c r="M7" s="521" t="s">
        <v>8</v>
      </c>
      <c r="N7" s="481" t="s">
        <v>9</v>
      </c>
      <c r="O7" s="525" t="s">
        <v>25</v>
      </c>
      <c r="P7" s="524"/>
      <c r="R7" t="s">
        <v>73</v>
      </c>
    </row>
    <row r="8" spans="1:26" ht="13.5" thickBot="1">
      <c r="A8" s="469"/>
      <c r="B8" s="470"/>
      <c r="C8" s="460"/>
      <c r="D8" s="470"/>
      <c r="E8" s="485"/>
      <c r="F8" s="486"/>
      <c r="G8" s="519"/>
      <c r="H8" s="485"/>
      <c r="I8" s="493" t="s">
        <v>0</v>
      </c>
      <c r="J8" s="494"/>
      <c r="K8" s="20" t="s">
        <v>1</v>
      </c>
      <c r="L8" s="3" t="s">
        <v>2</v>
      </c>
      <c r="M8" s="522"/>
      <c r="N8" s="523"/>
      <c r="O8" s="525"/>
      <c r="P8" s="524"/>
    </row>
    <row r="9" spans="1:26" ht="20.25" customHeight="1">
      <c r="A9" s="345" t="str">
        <f>IF(原価内訳書!A9="","",原価内訳書!A9)</f>
        <v/>
      </c>
      <c r="B9" s="346" t="str">
        <f>IF(原価内訳書!B9="","",原価内訳書!B9)</f>
        <v/>
      </c>
      <c r="C9" s="27" t="str">
        <f>IF(原価内訳書!C9="","",原価内訳書!C9)</f>
        <v/>
      </c>
      <c r="D9" s="27" t="str">
        <f>IF(原価内訳書!D9="","",原価内訳書!D9)</f>
        <v/>
      </c>
      <c r="E9" s="30" t="str">
        <f>IF(原価内訳書!E9="","",原価内訳書!E9)</f>
        <v/>
      </c>
      <c r="F9" s="33" t="str">
        <f>IF(原価内訳書!F9="","",原価内訳書!F9)</f>
        <v/>
      </c>
      <c r="G9" s="347" t="str">
        <f>IF(原価内訳書!G9="","",原価内訳書!G9/(1-お客様提示用内訳書!$Q$3/100))</f>
        <v/>
      </c>
      <c r="H9" s="24" t="str">
        <f>IF(G9="","",E9*G9)</f>
        <v/>
      </c>
      <c r="I9" s="30" t="str">
        <f t="shared" ref="I9:L9" si="0">IF(E9="","",E9)</f>
        <v/>
      </c>
      <c r="J9" s="45" t="str">
        <f t="shared" si="0"/>
        <v/>
      </c>
      <c r="K9" s="23" t="str">
        <f t="shared" si="0"/>
        <v/>
      </c>
      <c r="L9" s="24" t="str">
        <f t="shared" si="0"/>
        <v/>
      </c>
      <c r="M9" s="51"/>
      <c r="N9" s="389" t="str">
        <f>IF(原価内訳書!N9="","",原価内訳書!N9)</f>
        <v/>
      </c>
      <c r="O9" s="71" t="str">
        <f>IF(H9="","",1-(原価内訳書!H9/お客様提示用内訳書!H9))</f>
        <v/>
      </c>
      <c r="P9" s="19"/>
    </row>
    <row r="10" spans="1:26" ht="20.25" customHeight="1">
      <c r="A10" s="340" t="str">
        <f>IF(原価内訳書!A10="","",原価内訳書!A10)</f>
        <v/>
      </c>
      <c r="B10" s="42" t="str">
        <f>IF(原価内訳書!B10="","",原価内訳書!B10)</f>
        <v/>
      </c>
      <c r="C10" s="28" t="str">
        <f>IF(原価内訳書!C10="","",原価内訳書!C10)</f>
        <v/>
      </c>
      <c r="D10" s="28" t="str">
        <f>IF(原価内訳書!D10="","",原価内訳書!D10)</f>
        <v/>
      </c>
      <c r="E10" s="32" t="str">
        <f>IF(原価内訳書!E10="","",原価内訳書!E10)</f>
        <v/>
      </c>
      <c r="F10" s="35" t="str">
        <f>IF(原価内訳書!F10="","",原価内訳書!F10)</f>
        <v/>
      </c>
      <c r="G10" s="37" t="str">
        <f>IF(原価内訳書!G10="","",原価内訳書!G10/(1-お客様提示用内訳書!$Q$3/100))</f>
        <v/>
      </c>
      <c r="H10" s="341" t="str">
        <f>IF(G10="","",E10*G10)</f>
        <v/>
      </c>
      <c r="I10" s="32" t="str">
        <f t="shared" ref="I10" si="1">IF(E10="","",E10)</f>
        <v/>
      </c>
      <c r="J10" s="342" t="str">
        <f t="shared" ref="J10" si="2">IF(F10="","",F10)</f>
        <v/>
      </c>
      <c r="K10" s="343" t="str">
        <f t="shared" ref="K10" si="3">IF(G10="","",G10)</f>
        <v/>
      </c>
      <c r="L10" s="341" t="str">
        <f t="shared" ref="L10" si="4">IF(H10="","",H10)</f>
        <v/>
      </c>
      <c r="M10" s="344"/>
      <c r="N10" s="38" t="str">
        <f>IF(原価内訳書!N10="","",原価内訳書!N10)</f>
        <v/>
      </c>
      <c r="O10" s="71" t="str">
        <f>IF(H10="","",1-(原価内訳書!H10/お客様提示用内訳書!H10))</f>
        <v/>
      </c>
      <c r="P10" s="19"/>
      <c r="U10" s="520" t="s">
        <v>1277</v>
      </c>
      <c r="V10" s="520"/>
      <c r="W10" s="520"/>
      <c r="X10" s="520"/>
      <c r="Y10" s="520"/>
      <c r="Z10" s="520"/>
    </row>
    <row r="11" spans="1:26" ht="20.25" customHeight="1">
      <c r="A11" s="340" t="str">
        <f>IF(原価内訳書!A11="","",原価内訳書!A11)</f>
        <v/>
      </c>
      <c r="B11" s="42" t="str">
        <f>IF(原価内訳書!B11="","",原価内訳書!B11)</f>
        <v/>
      </c>
      <c r="C11" s="28" t="str">
        <f>IF(原価内訳書!C11="","",原価内訳書!C11)</f>
        <v/>
      </c>
      <c r="D11" s="28" t="str">
        <f>IF(原価内訳書!D11="","",原価内訳書!D11)</f>
        <v/>
      </c>
      <c r="E11" s="32" t="str">
        <f>IF(原価内訳書!E11="","",原価内訳書!E11)</f>
        <v/>
      </c>
      <c r="F11" s="35" t="str">
        <f>IF(原価内訳書!F11="","",原価内訳書!F11)</f>
        <v/>
      </c>
      <c r="G11" s="37" t="str">
        <f>IF(原価内訳書!G11="","",原価内訳書!G11/(1-お客様提示用内訳書!$Q$3/100))</f>
        <v/>
      </c>
      <c r="H11" s="341" t="str">
        <f t="shared" ref="H11:H16" si="5">IF(G11="","",E11*G11)</f>
        <v/>
      </c>
      <c r="I11" s="32" t="str">
        <f t="shared" ref="I11:I16" si="6">IF(E11="","",E11)</f>
        <v/>
      </c>
      <c r="J11" s="342" t="str">
        <f t="shared" ref="J11:J16" si="7">IF(F11="","",F11)</f>
        <v/>
      </c>
      <c r="K11" s="343" t="str">
        <f t="shared" ref="K11:K16" si="8">IF(G11="","",G11)</f>
        <v/>
      </c>
      <c r="L11" s="341" t="str">
        <f t="shared" ref="L11:L16" si="9">IF(H11="","",H11)</f>
        <v/>
      </c>
      <c r="M11" s="344"/>
      <c r="N11" s="38" t="str">
        <f>IF(原価内訳書!N11="","",原価内訳書!N11)</f>
        <v/>
      </c>
      <c r="O11" s="71" t="str">
        <f>IF(H11="","",1-(原価内訳書!H11/お客様提示用内訳書!H11))</f>
        <v/>
      </c>
      <c r="P11" s="19"/>
      <c r="U11" s="520"/>
      <c r="V11" s="520"/>
      <c r="W11" s="520"/>
      <c r="X11" s="520"/>
      <c r="Y11" s="520"/>
      <c r="Z11" s="520"/>
    </row>
    <row r="12" spans="1:26" ht="20.25" customHeight="1">
      <c r="A12" s="340" t="str">
        <f>IF(原価内訳書!A12="","",原価内訳書!A12)</f>
        <v/>
      </c>
      <c r="B12" s="42" t="str">
        <f>IF(原価内訳書!B12="","",原価内訳書!B12)</f>
        <v/>
      </c>
      <c r="C12" s="28" t="str">
        <f>IF(原価内訳書!C12="","",原価内訳書!C12)</f>
        <v/>
      </c>
      <c r="D12" s="28" t="str">
        <f>IF(原価内訳書!D12="","",原価内訳書!D12)</f>
        <v/>
      </c>
      <c r="E12" s="32" t="str">
        <f>IF(原価内訳書!E12="","",原価内訳書!E12)</f>
        <v/>
      </c>
      <c r="F12" s="35" t="str">
        <f>IF(原価内訳書!F12="","",原価内訳書!F12)</f>
        <v/>
      </c>
      <c r="G12" s="37" t="str">
        <f>IF(原価内訳書!G12="","",原価内訳書!G12/(1-お客様提示用内訳書!$Q$3/100))</f>
        <v/>
      </c>
      <c r="H12" s="341" t="str">
        <f t="shared" si="5"/>
        <v/>
      </c>
      <c r="I12" s="32" t="str">
        <f t="shared" si="6"/>
        <v/>
      </c>
      <c r="J12" s="342" t="str">
        <f t="shared" si="7"/>
        <v/>
      </c>
      <c r="K12" s="343" t="str">
        <f t="shared" si="8"/>
        <v/>
      </c>
      <c r="L12" s="341" t="str">
        <f t="shared" si="9"/>
        <v/>
      </c>
      <c r="M12" s="344"/>
      <c r="N12" s="38" t="str">
        <f>IF(原価内訳書!N12="","",原価内訳書!N12)</f>
        <v/>
      </c>
      <c r="O12" s="71" t="str">
        <f>IF(H12="","",1-(原価内訳書!H12/お客様提示用内訳書!H12))</f>
        <v/>
      </c>
      <c r="P12" s="19"/>
      <c r="S12" s="67"/>
      <c r="U12" s="520"/>
      <c r="V12" s="520"/>
      <c r="W12" s="520"/>
      <c r="X12" s="520"/>
      <c r="Y12" s="520"/>
      <c r="Z12" s="520"/>
    </row>
    <row r="13" spans="1:26" ht="20.25" customHeight="1">
      <c r="A13" s="340" t="str">
        <f>IF(原価内訳書!A13="","",原価内訳書!A13)</f>
        <v/>
      </c>
      <c r="B13" s="42" t="str">
        <f>IF(原価内訳書!B13="","",原価内訳書!B13)</f>
        <v/>
      </c>
      <c r="C13" s="28" t="str">
        <f>IF(原価内訳書!C13="","",原価内訳書!C13)</f>
        <v/>
      </c>
      <c r="D13" s="28" t="str">
        <f>IF(原価内訳書!D13="","",原価内訳書!D13)</f>
        <v/>
      </c>
      <c r="E13" s="32" t="str">
        <f>IF(原価内訳書!E13="","",原価内訳書!E13)</f>
        <v/>
      </c>
      <c r="F13" s="35" t="str">
        <f>IF(原価内訳書!F13="","",原価内訳書!F13)</f>
        <v/>
      </c>
      <c r="G13" s="37" t="str">
        <f>IF(原価内訳書!G13="","",原価内訳書!G13/(1-お客様提示用内訳書!$Q$3/100))</f>
        <v/>
      </c>
      <c r="H13" s="341" t="str">
        <f t="shared" si="5"/>
        <v/>
      </c>
      <c r="I13" s="32" t="str">
        <f t="shared" si="6"/>
        <v/>
      </c>
      <c r="J13" s="342" t="str">
        <f t="shared" si="7"/>
        <v/>
      </c>
      <c r="K13" s="343" t="str">
        <f t="shared" si="8"/>
        <v/>
      </c>
      <c r="L13" s="341" t="str">
        <f t="shared" si="9"/>
        <v/>
      </c>
      <c r="M13" s="344"/>
      <c r="N13" s="38" t="str">
        <f>IF(原価内訳書!N13="","",原価内訳書!N13)</f>
        <v/>
      </c>
      <c r="O13" s="71" t="str">
        <f>IF(H13="","",1-(原価内訳書!H13/お客様提示用内訳書!H13))</f>
        <v/>
      </c>
      <c r="P13" s="19"/>
      <c r="U13" s="520"/>
      <c r="V13" s="520"/>
      <c r="W13" s="520"/>
      <c r="X13" s="520"/>
      <c r="Y13" s="520"/>
      <c r="Z13" s="520"/>
    </row>
    <row r="14" spans="1:26" ht="20.25" customHeight="1">
      <c r="A14" s="340" t="str">
        <f>IF(原価内訳書!A14="","",原価内訳書!A14)</f>
        <v/>
      </c>
      <c r="B14" s="42" t="str">
        <f>IF(原価内訳書!B14="","",原価内訳書!B14)</f>
        <v/>
      </c>
      <c r="C14" s="28" t="str">
        <f>IF(原価内訳書!C14="","",原価内訳書!C14)</f>
        <v/>
      </c>
      <c r="D14" s="28" t="str">
        <f>IF(原価内訳書!D14="","",原価内訳書!D14)</f>
        <v/>
      </c>
      <c r="E14" s="32" t="str">
        <f>IF(原価内訳書!E14="","",原価内訳書!E14)</f>
        <v/>
      </c>
      <c r="F14" s="35" t="str">
        <f>IF(原価内訳書!F14="","",原価内訳書!F14)</f>
        <v/>
      </c>
      <c r="G14" s="37" t="str">
        <f>IF(原価内訳書!G14="","",原価内訳書!G14/(1-お客様提示用内訳書!$Q$3/100))</f>
        <v/>
      </c>
      <c r="H14" s="341" t="str">
        <f t="shared" si="5"/>
        <v/>
      </c>
      <c r="I14" s="32" t="str">
        <f t="shared" si="6"/>
        <v/>
      </c>
      <c r="J14" s="342" t="str">
        <f t="shared" si="7"/>
        <v/>
      </c>
      <c r="K14" s="343" t="str">
        <f t="shared" si="8"/>
        <v/>
      </c>
      <c r="L14" s="341" t="str">
        <f t="shared" si="9"/>
        <v/>
      </c>
      <c r="M14" s="344"/>
      <c r="N14" s="38" t="str">
        <f>IF(原価内訳書!N14="","",原価内訳書!N14)</f>
        <v/>
      </c>
      <c r="O14" s="71" t="str">
        <f>IF(H14="","",1-(原価内訳書!H14/お客様提示用内訳書!H14))</f>
        <v/>
      </c>
      <c r="P14" s="19"/>
    </row>
    <row r="15" spans="1:26" ht="20.25" customHeight="1">
      <c r="A15" s="340" t="str">
        <f>IF(原価内訳書!A15="","",原価内訳書!A15)</f>
        <v/>
      </c>
      <c r="B15" s="42" t="str">
        <f>IF(原価内訳書!B15="","",原価内訳書!B15)</f>
        <v/>
      </c>
      <c r="C15" s="28" t="str">
        <f>IF(原価内訳書!C15="","",原価内訳書!C15)</f>
        <v/>
      </c>
      <c r="D15" s="28" t="str">
        <f>IF(原価内訳書!D15="","",原価内訳書!D15)</f>
        <v/>
      </c>
      <c r="E15" s="32" t="str">
        <f>IF(原価内訳書!E15="","",原価内訳書!E15)</f>
        <v/>
      </c>
      <c r="F15" s="35" t="str">
        <f>IF(原価内訳書!F15="","",原価内訳書!F15)</f>
        <v/>
      </c>
      <c r="G15" s="37" t="str">
        <f>IF(原価内訳書!G15="","",原価内訳書!G15/(1-お客様提示用内訳書!$Q$3/100))</f>
        <v/>
      </c>
      <c r="H15" s="341" t="str">
        <f t="shared" si="5"/>
        <v/>
      </c>
      <c r="I15" s="32" t="str">
        <f t="shared" si="6"/>
        <v/>
      </c>
      <c r="J15" s="342" t="str">
        <f t="shared" si="7"/>
        <v/>
      </c>
      <c r="K15" s="343" t="str">
        <f t="shared" si="8"/>
        <v/>
      </c>
      <c r="L15" s="341" t="str">
        <f t="shared" si="9"/>
        <v/>
      </c>
      <c r="M15" s="344"/>
      <c r="N15" s="38" t="str">
        <f>IF(原価内訳書!N15="","",原価内訳書!N15)</f>
        <v/>
      </c>
      <c r="O15" s="71" t="str">
        <f>IF(H15="","",1-(原価内訳書!H15/お客様提示用内訳書!H15))</f>
        <v/>
      </c>
      <c r="P15" s="19"/>
    </row>
    <row r="16" spans="1:26" ht="20.25" customHeight="1">
      <c r="A16" s="340" t="str">
        <f>IF(原価内訳書!A16="","",原価内訳書!A16)</f>
        <v/>
      </c>
      <c r="B16" s="42" t="str">
        <f>IF(原価内訳書!B16="","",原価内訳書!B16)</f>
        <v/>
      </c>
      <c r="C16" s="28" t="str">
        <f>IF(原価内訳書!C16="","",原価内訳書!C16)</f>
        <v/>
      </c>
      <c r="D16" s="28" t="str">
        <f>IF(原価内訳書!D16="","",原価内訳書!D16)</f>
        <v/>
      </c>
      <c r="E16" s="32" t="str">
        <f>IF(原価内訳書!E16="","",原価内訳書!E16)</f>
        <v/>
      </c>
      <c r="F16" s="35" t="str">
        <f>IF(原価内訳書!F16="","",原価内訳書!F16)</f>
        <v/>
      </c>
      <c r="G16" s="37" t="str">
        <f>IF(原価内訳書!G16="","",原価内訳書!G16/(1-お客様提示用内訳書!$Q$3/100))</f>
        <v/>
      </c>
      <c r="H16" s="341" t="str">
        <f t="shared" si="5"/>
        <v/>
      </c>
      <c r="I16" s="32" t="str">
        <f t="shared" si="6"/>
        <v/>
      </c>
      <c r="J16" s="342" t="str">
        <f t="shared" si="7"/>
        <v/>
      </c>
      <c r="K16" s="343" t="str">
        <f t="shared" si="8"/>
        <v/>
      </c>
      <c r="L16" s="341" t="str">
        <f t="shared" si="9"/>
        <v/>
      </c>
      <c r="M16" s="344"/>
      <c r="N16" s="38" t="str">
        <f>IF(原価内訳書!N16="","",原価内訳書!N16)</f>
        <v/>
      </c>
      <c r="O16" s="71" t="str">
        <f>IF(H16="","",1-(原価内訳書!H16/お客様提示用内訳書!H16))</f>
        <v/>
      </c>
      <c r="P16" s="19"/>
    </row>
    <row r="17" spans="1:16" ht="20.25" customHeight="1">
      <c r="A17" s="340" t="str">
        <f>IF(原価内訳書!A17="","",原価内訳書!A17)</f>
        <v/>
      </c>
      <c r="B17" s="42" t="str">
        <f>IF(原価内訳書!B17="","",原価内訳書!B17)</f>
        <v/>
      </c>
      <c r="C17" s="28" t="str">
        <f>IF(原価内訳書!C17="","",原価内訳書!C17)</f>
        <v/>
      </c>
      <c r="D17" s="28" t="str">
        <f>IF(原価内訳書!D17="","",原価内訳書!D17)</f>
        <v/>
      </c>
      <c r="E17" s="32" t="str">
        <f>IF(原価内訳書!E17="","",原価内訳書!E17)</f>
        <v/>
      </c>
      <c r="F17" s="35" t="str">
        <f>IF(原価内訳書!F17="","",原価内訳書!F17)</f>
        <v/>
      </c>
      <c r="G17" s="37" t="str">
        <f>IF(原価内訳書!G17="","",原価内訳書!G17/(1-お客様提示用内訳書!$Q$3/100))</f>
        <v/>
      </c>
      <c r="H17" s="341" t="str">
        <f t="shared" ref="H17:H36" si="10">IF(G17="","",E17*G17)</f>
        <v/>
      </c>
      <c r="I17" s="32" t="str">
        <f t="shared" ref="I17:I36" si="11">IF(E17="","",E17)</f>
        <v/>
      </c>
      <c r="J17" s="342" t="str">
        <f t="shared" ref="J17:J36" si="12">IF(F17="","",F17)</f>
        <v/>
      </c>
      <c r="K17" s="343" t="str">
        <f t="shared" ref="K17:K36" si="13">IF(G17="","",G17)</f>
        <v/>
      </c>
      <c r="L17" s="341" t="str">
        <f t="shared" ref="L17:L36" si="14">IF(H17="","",H17)</f>
        <v/>
      </c>
      <c r="M17" s="344"/>
      <c r="N17" s="38" t="str">
        <f>IF(原価内訳書!N17="","",原価内訳書!N17)</f>
        <v/>
      </c>
      <c r="O17" s="71" t="str">
        <f>IF(H17="","",1-(原価内訳書!H17/お客様提示用内訳書!H17))</f>
        <v/>
      </c>
      <c r="P17" s="19"/>
    </row>
    <row r="18" spans="1:16" ht="20.25" customHeight="1">
      <c r="A18" s="340" t="str">
        <f>IF(原価内訳書!A18="","",原価内訳書!A18)</f>
        <v/>
      </c>
      <c r="B18" s="42" t="str">
        <f>IF(原価内訳書!B18="","",原価内訳書!B18)</f>
        <v/>
      </c>
      <c r="C18" s="28" t="str">
        <f>IF(原価内訳書!C18="","",原価内訳書!C18)</f>
        <v/>
      </c>
      <c r="D18" s="28" t="str">
        <f>IF(原価内訳書!D18="","",原価内訳書!D18)</f>
        <v/>
      </c>
      <c r="E18" s="32" t="str">
        <f>IF(原価内訳書!E18="","",原価内訳書!E18)</f>
        <v/>
      </c>
      <c r="F18" s="35" t="str">
        <f>IF(原価内訳書!F18="","",原価内訳書!F18)</f>
        <v/>
      </c>
      <c r="G18" s="37" t="str">
        <f>IF(原価内訳書!G18="","",原価内訳書!G18/(1-お客様提示用内訳書!$Q$3/100))</f>
        <v/>
      </c>
      <c r="H18" s="341" t="str">
        <f t="shared" si="10"/>
        <v/>
      </c>
      <c r="I18" s="32" t="str">
        <f t="shared" si="11"/>
        <v/>
      </c>
      <c r="J18" s="342" t="str">
        <f t="shared" si="12"/>
        <v/>
      </c>
      <c r="K18" s="343" t="str">
        <f t="shared" si="13"/>
        <v/>
      </c>
      <c r="L18" s="341" t="str">
        <f t="shared" si="14"/>
        <v/>
      </c>
      <c r="M18" s="344"/>
      <c r="N18" s="38" t="str">
        <f>IF(原価内訳書!N18="","",原価内訳書!N18)</f>
        <v/>
      </c>
      <c r="O18" s="71" t="str">
        <f>IF(H18="","",1-(原価内訳書!H18/お客様提示用内訳書!H18))</f>
        <v/>
      </c>
      <c r="P18" s="19"/>
    </row>
    <row r="19" spans="1:16" ht="19.25" customHeight="1">
      <c r="A19" s="340" t="str">
        <f>IF(原価内訳書!A19="","",原価内訳書!A19)</f>
        <v/>
      </c>
      <c r="B19" s="42" t="str">
        <f>IF(原価内訳書!B19="","",原価内訳書!B19)</f>
        <v/>
      </c>
      <c r="C19" s="28" t="str">
        <f>IF(原価内訳書!C19="","",原価内訳書!C19)</f>
        <v/>
      </c>
      <c r="D19" s="28" t="str">
        <f>IF(原価内訳書!D19="","",原価内訳書!D19)</f>
        <v/>
      </c>
      <c r="E19" s="32" t="str">
        <f>IF(原価内訳書!E19="","",原価内訳書!E19)</f>
        <v/>
      </c>
      <c r="F19" s="35" t="str">
        <f>IF(原価内訳書!F19="","",原価内訳書!F19)</f>
        <v/>
      </c>
      <c r="G19" s="37" t="str">
        <f>IF(原価内訳書!G19="","",原価内訳書!G19/(1-お客様提示用内訳書!$Q$3/100))</f>
        <v/>
      </c>
      <c r="H19" s="341" t="str">
        <f t="shared" si="10"/>
        <v/>
      </c>
      <c r="I19" s="32" t="str">
        <f t="shared" si="11"/>
        <v/>
      </c>
      <c r="J19" s="342" t="str">
        <f t="shared" si="12"/>
        <v/>
      </c>
      <c r="K19" s="343" t="str">
        <f t="shared" si="13"/>
        <v/>
      </c>
      <c r="L19" s="341" t="str">
        <f t="shared" si="14"/>
        <v/>
      </c>
      <c r="M19" s="344"/>
      <c r="N19" s="38" t="str">
        <f>IF(原価内訳書!N19="","",原価内訳書!N19)</f>
        <v/>
      </c>
      <c r="O19" s="71" t="str">
        <f>IF(H19="","",1-(原価内訳書!H19/お客様提示用内訳書!H19))</f>
        <v/>
      </c>
    </row>
    <row r="20" spans="1:16" ht="19.25" customHeight="1">
      <c r="A20" s="340" t="str">
        <f>IF(原価内訳書!A20="","",原価内訳書!A20)</f>
        <v/>
      </c>
      <c r="B20" s="42" t="str">
        <f>IF(原価内訳書!B20="","",原価内訳書!B20)</f>
        <v/>
      </c>
      <c r="C20" s="28" t="str">
        <f>IF(原価内訳書!C20="","",原価内訳書!C20)</f>
        <v/>
      </c>
      <c r="D20" s="28" t="str">
        <f>IF(原価内訳書!D20="","",原価内訳書!D20)</f>
        <v/>
      </c>
      <c r="E20" s="32" t="str">
        <f>IF(原価内訳書!E20="","",原価内訳書!E20)</f>
        <v/>
      </c>
      <c r="F20" s="35" t="str">
        <f>IF(原価内訳書!F20="","",原価内訳書!F20)</f>
        <v/>
      </c>
      <c r="G20" s="37" t="str">
        <f>IF(原価内訳書!G20="","",原価内訳書!G20/(1-お客様提示用内訳書!$Q$3/100))</f>
        <v/>
      </c>
      <c r="H20" s="341" t="str">
        <f t="shared" si="10"/>
        <v/>
      </c>
      <c r="I20" s="32" t="str">
        <f t="shared" si="11"/>
        <v/>
      </c>
      <c r="J20" s="342" t="str">
        <f t="shared" si="12"/>
        <v/>
      </c>
      <c r="K20" s="343" t="str">
        <f t="shared" si="13"/>
        <v/>
      </c>
      <c r="L20" s="341" t="str">
        <f t="shared" si="14"/>
        <v/>
      </c>
      <c r="M20" s="344"/>
      <c r="N20" s="38" t="str">
        <f>IF(原価内訳書!N20="","",原価内訳書!N20)</f>
        <v/>
      </c>
      <c r="O20" s="71" t="str">
        <f>IF(H20="","",1-(原価内訳書!H20/お客様提示用内訳書!H20))</f>
        <v/>
      </c>
    </row>
    <row r="21" spans="1:16" ht="19.25" customHeight="1">
      <c r="A21" s="340" t="str">
        <f>IF(原価内訳書!A21="","",原価内訳書!A21)</f>
        <v/>
      </c>
      <c r="B21" s="42" t="str">
        <f>IF(原価内訳書!B21="","",原価内訳書!B21)</f>
        <v/>
      </c>
      <c r="C21" s="28" t="str">
        <f>IF(原価内訳書!C21="","",原価内訳書!C21)</f>
        <v/>
      </c>
      <c r="D21" s="28" t="str">
        <f>IF(原価内訳書!D21="","",原価内訳書!D21)</f>
        <v/>
      </c>
      <c r="E21" s="32" t="str">
        <f>IF(原価内訳書!E21="","",原価内訳書!E21)</f>
        <v/>
      </c>
      <c r="F21" s="35" t="str">
        <f>IF(原価内訳書!F21="","",原価内訳書!F21)</f>
        <v/>
      </c>
      <c r="G21" s="37" t="str">
        <f>IF(原価内訳書!G21="","",原価内訳書!G21/(1-お客様提示用内訳書!$Q$3/100))</f>
        <v/>
      </c>
      <c r="H21" s="341" t="str">
        <f t="shared" si="10"/>
        <v/>
      </c>
      <c r="I21" s="32" t="str">
        <f t="shared" si="11"/>
        <v/>
      </c>
      <c r="J21" s="342" t="str">
        <f t="shared" si="12"/>
        <v/>
      </c>
      <c r="K21" s="343" t="str">
        <f t="shared" si="13"/>
        <v/>
      </c>
      <c r="L21" s="341" t="str">
        <f t="shared" si="14"/>
        <v/>
      </c>
      <c r="M21" s="344"/>
      <c r="N21" s="38" t="str">
        <f>IF(原価内訳書!N21="","",原価内訳書!N21)</f>
        <v/>
      </c>
      <c r="O21" s="71" t="str">
        <f>IF(H21="","",1-(原価内訳書!H21/お客様提示用内訳書!H21))</f>
        <v/>
      </c>
    </row>
    <row r="22" spans="1:16" ht="19.25" customHeight="1">
      <c r="A22" s="340" t="str">
        <f>IF(原価内訳書!A22="","",原価内訳書!A22)</f>
        <v/>
      </c>
      <c r="B22" s="42" t="str">
        <f>IF(原価内訳書!B22="","",原価内訳書!B22)</f>
        <v/>
      </c>
      <c r="C22" s="28" t="str">
        <f>IF(原価内訳書!C22="","",原価内訳書!C22)</f>
        <v/>
      </c>
      <c r="D22" s="28" t="str">
        <f>IF(原価内訳書!D22="","",原価内訳書!D22)</f>
        <v/>
      </c>
      <c r="E22" s="32" t="str">
        <f>IF(原価内訳書!E22="","",原価内訳書!E22)</f>
        <v/>
      </c>
      <c r="F22" s="35" t="str">
        <f>IF(原価内訳書!F22="","",原価内訳書!F22)</f>
        <v/>
      </c>
      <c r="G22" s="37" t="str">
        <f>IF(原価内訳書!G22="","",原価内訳書!G22/(1-お客様提示用内訳書!$Q$3/100))</f>
        <v/>
      </c>
      <c r="H22" s="341" t="str">
        <f t="shared" si="10"/>
        <v/>
      </c>
      <c r="I22" s="32" t="str">
        <f t="shared" si="11"/>
        <v/>
      </c>
      <c r="J22" s="342" t="str">
        <f t="shared" si="12"/>
        <v/>
      </c>
      <c r="K22" s="343" t="str">
        <f t="shared" si="13"/>
        <v/>
      </c>
      <c r="L22" s="341" t="str">
        <f t="shared" si="14"/>
        <v/>
      </c>
      <c r="M22" s="344"/>
      <c r="N22" s="38" t="str">
        <f>IF(原価内訳書!N22="","",原価内訳書!N22)</f>
        <v/>
      </c>
      <c r="O22" s="71" t="str">
        <f>IF(H22="","",1-(原価内訳書!H22/お客様提示用内訳書!H22))</f>
        <v/>
      </c>
    </row>
    <row r="23" spans="1:16" ht="19.25" customHeight="1">
      <c r="A23" s="340" t="str">
        <f>IF(原価内訳書!A23="","",原価内訳書!A23)</f>
        <v/>
      </c>
      <c r="B23" s="42" t="str">
        <f>IF(原価内訳書!B23="","",原価内訳書!B23)</f>
        <v/>
      </c>
      <c r="C23" s="28" t="str">
        <f>IF(原価内訳書!C23="","",原価内訳書!C23)</f>
        <v/>
      </c>
      <c r="D23" s="28" t="str">
        <f>IF(原価内訳書!D23="","",原価内訳書!D23)</f>
        <v/>
      </c>
      <c r="E23" s="32" t="str">
        <f>IF(原価内訳書!E23="","",原価内訳書!E23)</f>
        <v/>
      </c>
      <c r="F23" s="35" t="str">
        <f>IF(原価内訳書!F23="","",原価内訳書!F23)</f>
        <v/>
      </c>
      <c r="G23" s="37" t="str">
        <f>IF(原価内訳書!G23="","",原価内訳書!G23/(1-お客様提示用内訳書!$Q$3/100))</f>
        <v/>
      </c>
      <c r="H23" s="341" t="str">
        <f t="shared" si="10"/>
        <v/>
      </c>
      <c r="I23" s="32" t="str">
        <f t="shared" si="11"/>
        <v/>
      </c>
      <c r="J23" s="342" t="str">
        <f t="shared" si="12"/>
        <v/>
      </c>
      <c r="K23" s="343" t="str">
        <f t="shared" si="13"/>
        <v/>
      </c>
      <c r="L23" s="341" t="str">
        <f t="shared" si="14"/>
        <v/>
      </c>
      <c r="M23" s="344"/>
      <c r="N23" s="38" t="str">
        <f>IF(原価内訳書!N23="","",原価内訳書!N23)</f>
        <v/>
      </c>
      <c r="O23" s="71" t="str">
        <f>IF(H23="","",1-(原価内訳書!H23/お客様提示用内訳書!H23))</f>
        <v/>
      </c>
    </row>
    <row r="24" spans="1:16" ht="18.75" customHeight="1">
      <c r="A24" s="340" t="str">
        <f>IF(原価内訳書!A24="","",原価内訳書!A24)</f>
        <v/>
      </c>
      <c r="B24" s="42" t="str">
        <f>IF(原価内訳書!B24="","",原価内訳書!B24)</f>
        <v/>
      </c>
      <c r="C24" s="28" t="str">
        <f>IF(原価内訳書!C24="","",原価内訳書!C24)</f>
        <v/>
      </c>
      <c r="D24" s="28" t="str">
        <f>IF(原価内訳書!D24="","",原価内訳書!D24)</f>
        <v/>
      </c>
      <c r="E24" s="32" t="str">
        <f>IF(原価内訳書!E24="","",原価内訳書!E24)</f>
        <v/>
      </c>
      <c r="F24" s="35" t="str">
        <f>IF(原価内訳書!F24="","",原価内訳書!F24)</f>
        <v/>
      </c>
      <c r="G24" s="37" t="str">
        <f>IF(原価内訳書!G24="","",原価内訳書!G24/(1-お客様提示用内訳書!$Q$3/100))</f>
        <v/>
      </c>
      <c r="H24" s="341" t="str">
        <f t="shared" si="10"/>
        <v/>
      </c>
      <c r="I24" s="32" t="str">
        <f t="shared" si="11"/>
        <v/>
      </c>
      <c r="J24" s="342" t="str">
        <f t="shared" si="12"/>
        <v/>
      </c>
      <c r="K24" s="343" t="str">
        <f t="shared" si="13"/>
        <v/>
      </c>
      <c r="L24" s="341" t="str">
        <f t="shared" si="14"/>
        <v/>
      </c>
      <c r="M24" s="344"/>
      <c r="N24" s="38" t="str">
        <f>IF(原価内訳書!N24="","",原価内訳書!N24)</f>
        <v/>
      </c>
      <c r="O24" s="71" t="str">
        <f>IF(H24="","",1-(原価内訳書!H24/お客様提示用内訳書!H24))</f>
        <v/>
      </c>
    </row>
    <row r="25" spans="1:16" ht="18.75" customHeight="1">
      <c r="A25" s="340" t="str">
        <f>IF(原価内訳書!A25="","",原価内訳書!A25)</f>
        <v/>
      </c>
      <c r="B25" s="42" t="str">
        <f>IF(原価内訳書!B25="","",原価内訳書!B25)</f>
        <v/>
      </c>
      <c r="C25" s="28" t="str">
        <f>IF(原価内訳書!C25="","",原価内訳書!C25)</f>
        <v/>
      </c>
      <c r="D25" s="28" t="str">
        <f>IF(原価内訳書!D25="","",原価内訳書!D25)</f>
        <v/>
      </c>
      <c r="E25" s="32" t="str">
        <f>IF(原価内訳書!E25="","",原価内訳書!E25)</f>
        <v/>
      </c>
      <c r="F25" s="35" t="str">
        <f>IF(原価内訳書!F25="","",原価内訳書!F25)</f>
        <v/>
      </c>
      <c r="G25" s="37" t="str">
        <f>IF(原価内訳書!G25="","",原価内訳書!G25/(1-お客様提示用内訳書!$Q$3/100))</f>
        <v/>
      </c>
      <c r="H25" s="341" t="str">
        <f t="shared" si="10"/>
        <v/>
      </c>
      <c r="I25" s="32" t="str">
        <f t="shared" si="11"/>
        <v/>
      </c>
      <c r="J25" s="342" t="str">
        <f t="shared" si="12"/>
        <v/>
      </c>
      <c r="K25" s="343" t="str">
        <f t="shared" si="13"/>
        <v/>
      </c>
      <c r="L25" s="341" t="str">
        <f t="shared" si="14"/>
        <v/>
      </c>
      <c r="M25" s="344"/>
      <c r="N25" s="38" t="str">
        <f>IF(原価内訳書!N25="","",原価内訳書!N25)</f>
        <v/>
      </c>
      <c r="O25" s="71" t="str">
        <f>IF(H25="","",1-(原価内訳書!H25/お客様提示用内訳書!H25))</f>
        <v/>
      </c>
    </row>
    <row r="26" spans="1:16" ht="18.75" customHeight="1">
      <c r="A26" s="340" t="str">
        <f>IF(原価内訳書!A26="","",原価内訳書!A26)</f>
        <v/>
      </c>
      <c r="B26" s="42" t="str">
        <f>IF(原価内訳書!B26="","",原価内訳書!B26)</f>
        <v/>
      </c>
      <c r="C26" s="28" t="str">
        <f>IF(原価内訳書!C26="","",原価内訳書!C26)</f>
        <v/>
      </c>
      <c r="D26" s="28" t="str">
        <f>IF(原価内訳書!D26="","",原価内訳書!D26)</f>
        <v/>
      </c>
      <c r="E26" s="32" t="str">
        <f>IF(原価内訳書!E26="","",原価内訳書!E26)</f>
        <v/>
      </c>
      <c r="F26" s="35" t="str">
        <f>IF(原価内訳書!F26="","",原価内訳書!F26)</f>
        <v/>
      </c>
      <c r="G26" s="37" t="str">
        <f>IF(原価内訳書!G26="","",原価内訳書!G26/(1-お客様提示用内訳書!$Q$3/100))</f>
        <v/>
      </c>
      <c r="H26" s="341" t="str">
        <f t="shared" si="10"/>
        <v/>
      </c>
      <c r="I26" s="32" t="str">
        <f t="shared" si="11"/>
        <v/>
      </c>
      <c r="J26" s="342" t="str">
        <f t="shared" si="12"/>
        <v/>
      </c>
      <c r="K26" s="343" t="str">
        <f t="shared" si="13"/>
        <v/>
      </c>
      <c r="L26" s="341" t="str">
        <f t="shared" si="14"/>
        <v/>
      </c>
      <c r="M26" s="344"/>
      <c r="N26" s="38" t="str">
        <f>IF(原価内訳書!N26="","",原価内訳書!N26)</f>
        <v/>
      </c>
      <c r="O26" s="71" t="str">
        <f>IF(H26="","",1-(原価内訳書!H26/お客様提示用内訳書!H26))</f>
        <v/>
      </c>
    </row>
    <row r="27" spans="1:16" ht="18.75" customHeight="1">
      <c r="A27" s="340" t="str">
        <f>IF(原価内訳書!A27="","",原価内訳書!A27)</f>
        <v/>
      </c>
      <c r="B27" s="42" t="str">
        <f>IF(原価内訳書!B27="","",原価内訳書!B27)</f>
        <v/>
      </c>
      <c r="C27" s="28" t="str">
        <f>IF(原価内訳書!C27="","",原価内訳書!C27)</f>
        <v/>
      </c>
      <c r="D27" s="28" t="str">
        <f>IF(原価内訳書!D27="","",原価内訳書!D27)</f>
        <v/>
      </c>
      <c r="E27" s="32" t="str">
        <f>IF(原価内訳書!E27="","",原価内訳書!E27)</f>
        <v/>
      </c>
      <c r="F27" s="35" t="str">
        <f>IF(原価内訳書!F27="","",原価内訳書!F27)</f>
        <v/>
      </c>
      <c r="G27" s="37" t="str">
        <f>IF(原価内訳書!G27="","",原価内訳書!G27/(1-お客様提示用内訳書!$Q$3/100))</f>
        <v/>
      </c>
      <c r="H27" s="341" t="str">
        <f t="shared" si="10"/>
        <v/>
      </c>
      <c r="I27" s="32" t="str">
        <f t="shared" si="11"/>
        <v/>
      </c>
      <c r="J27" s="342" t="str">
        <f t="shared" si="12"/>
        <v/>
      </c>
      <c r="K27" s="343" t="str">
        <f t="shared" si="13"/>
        <v/>
      </c>
      <c r="L27" s="341" t="str">
        <f t="shared" si="14"/>
        <v/>
      </c>
      <c r="M27" s="344"/>
      <c r="N27" s="38" t="str">
        <f>IF(原価内訳書!N27="","",原価内訳書!N27)</f>
        <v/>
      </c>
      <c r="O27" s="71" t="str">
        <f>IF(H27="","",1-(原価内訳書!H27/お客様提示用内訳書!H27))</f>
        <v/>
      </c>
    </row>
    <row r="28" spans="1:16" ht="18.75" customHeight="1">
      <c r="A28" s="340" t="str">
        <f>IF(原価内訳書!A28="","",原価内訳書!A28)</f>
        <v/>
      </c>
      <c r="B28" s="42" t="str">
        <f>IF(原価内訳書!B28="","",原価内訳書!B28)</f>
        <v/>
      </c>
      <c r="C28" s="28" t="str">
        <f>IF(原価内訳書!C28="","",原価内訳書!C28)</f>
        <v/>
      </c>
      <c r="D28" s="28" t="str">
        <f>IF(原価内訳書!D28="","",原価内訳書!D28)</f>
        <v/>
      </c>
      <c r="E28" s="32" t="str">
        <f>IF(原価内訳書!E28="","",原価内訳書!E28)</f>
        <v/>
      </c>
      <c r="F28" s="35" t="str">
        <f>IF(原価内訳書!F28="","",原価内訳書!F28)</f>
        <v/>
      </c>
      <c r="G28" s="37" t="str">
        <f>IF(原価内訳書!G28="","",原価内訳書!G28/(1-お客様提示用内訳書!$Q$3/100))</f>
        <v/>
      </c>
      <c r="H28" s="341" t="str">
        <f t="shared" si="10"/>
        <v/>
      </c>
      <c r="I28" s="32" t="str">
        <f t="shared" si="11"/>
        <v/>
      </c>
      <c r="J28" s="342" t="str">
        <f t="shared" si="12"/>
        <v/>
      </c>
      <c r="K28" s="343" t="str">
        <f t="shared" si="13"/>
        <v/>
      </c>
      <c r="L28" s="341" t="str">
        <f t="shared" si="14"/>
        <v/>
      </c>
      <c r="M28" s="344"/>
      <c r="N28" s="38" t="str">
        <f>IF(原価内訳書!N28="","",原価内訳書!N28)</f>
        <v/>
      </c>
      <c r="O28" s="71" t="str">
        <f>IF(H28="","",1-(原価内訳書!H28/お客様提示用内訳書!H28))</f>
        <v/>
      </c>
    </row>
    <row r="29" spans="1:16" ht="18.75" customHeight="1">
      <c r="A29" s="340" t="str">
        <f>IF(原価内訳書!A29="","",原価内訳書!A29)</f>
        <v/>
      </c>
      <c r="B29" s="42" t="str">
        <f>IF(原価内訳書!B29="","",原価内訳書!B29)</f>
        <v/>
      </c>
      <c r="C29" s="28" t="str">
        <f>IF(原価内訳書!C29="","",原価内訳書!C29)</f>
        <v/>
      </c>
      <c r="D29" s="28" t="str">
        <f>IF(原価内訳書!D29="","",原価内訳書!D29)</f>
        <v/>
      </c>
      <c r="E29" s="32" t="str">
        <f>IF(原価内訳書!E29="","",原価内訳書!E29)</f>
        <v/>
      </c>
      <c r="F29" s="35" t="str">
        <f>IF(原価内訳書!F29="","",原価内訳書!F29)</f>
        <v/>
      </c>
      <c r="G29" s="37" t="str">
        <f>IF(原価内訳書!G29="","",原価内訳書!G29/(1-お客様提示用内訳書!$Q$3/100))</f>
        <v/>
      </c>
      <c r="H29" s="341" t="str">
        <f t="shared" si="10"/>
        <v/>
      </c>
      <c r="I29" s="32" t="str">
        <f t="shared" si="11"/>
        <v/>
      </c>
      <c r="J29" s="342" t="str">
        <f t="shared" si="12"/>
        <v/>
      </c>
      <c r="K29" s="343" t="str">
        <f t="shared" si="13"/>
        <v/>
      </c>
      <c r="L29" s="341" t="str">
        <f t="shared" si="14"/>
        <v/>
      </c>
      <c r="M29" s="344"/>
      <c r="N29" s="38" t="str">
        <f>IF(原価内訳書!N29="","",原価内訳書!N29)</f>
        <v/>
      </c>
      <c r="O29" s="71" t="str">
        <f>IF(H29="","",1-(原価内訳書!H29/お客様提示用内訳書!H29))</f>
        <v/>
      </c>
    </row>
    <row r="30" spans="1:16" ht="18.75" customHeight="1">
      <c r="A30" s="340" t="str">
        <f>IF(原価内訳書!A30="","",原価内訳書!A30)</f>
        <v/>
      </c>
      <c r="B30" s="42" t="str">
        <f>IF(原価内訳書!B30="","",原価内訳書!B30)</f>
        <v/>
      </c>
      <c r="C30" s="28" t="str">
        <f>IF(原価内訳書!C30="","",原価内訳書!C30)</f>
        <v/>
      </c>
      <c r="D30" s="28" t="str">
        <f>IF(原価内訳書!D30="","",原価内訳書!D30)</f>
        <v/>
      </c>
      <c r="E30" s="32" t="str">
        <f>IF(原価内訳書!E30="","",原価内訳書!E30)</f>
        <v/>
      </c>
      <c r="F30" s="35" t="str">
        <f>IF(原価内訳書!F30="","",原価内訳書!F30)</f>
        <v/>
      </c>
      <c r="G30" s="37" t="str">
        <f>IF(原価内訳書!G30="","",原価内訳書!G30/(1-お客様提示用内訳書!$Q$3/100))</f>
        <v/>
      </c>
      <c r="H30" s="341" t="str">
        <f t="shared" si="10"/>
        <v/>
      </c>
      <c r="I30" s="32" t="str">
        <f t="shared" si="11"/>
        <v/>
      </c>
      <c r="J30" s="342" t="str">
        <f t="shared" si="12"/>
        <v/>
      </c>
      <c r="K30" s="343" t="str">
        <f t="shared" si="13"/>
        <v/>
      </c>
      <c r="L30" s="341" t="str">
        <f t="shared" si="14"/>
        <v/>
      </c>
      <c r="M30" s="344"/>
      <c r="N30" s="38" t="str">
        <f>IF(原価内訳書!N30="","",原価内訳書!N30)</f>
        <v/>
      </c>
      <c r="O30" s="71" t="str">
        <f>IF(H30="","",1-(原価内訳書!H30/お客様提示用内訳書!H30))</f>
        <v/>
      </c>
    </row>
    <row r="31" spans="1:16" ht="18.75" customHeight="1">
      <c r="A31" s="340" t="str">
        <f>IF(原価内訳書!A31="","",原価内訳書!A31)</f>
        <v/>
      </c>
      <c r="B31" s="42" t="str">
        <f>IF(原価内訳書!B31="","",原価内訳書!B31)</f>
        <v/>
      </c>
      <c r="C31" s="28" t="str">
        <f>IF(原価内訳書!C31="","",原価内訳書!C31)</f>
        <v/>
      </c>
      <c r="D31" s="28" t="str">
        <f>IF(原価内訳書!D31="","",原価内訳書!D31)</f>
        <v/>
      </c>
      <c r="E31" s="32" t="str">
        <f>IF(原価内訳書!E31="","",原価内訳書!E31)</f>
        <v/>
      </c>
      <c r="F31" s="35" t="str">
        <f>IF(原価内訳書!F31="","",原価内訳書!F31)</f>
        <v/>
      </c>
      <c r="G31" s="37" t="str">
        <f>IF(原価内訳書!G31="","",原価内訳書!G31/(1-お客様提示用内訳書!$Q$3/100))</f>
        <v/>
      </c>
      <c r="H31" s="341" t="str">
        <f t="shared" si="10"/>
        <v/>
      </c>
      <c r="I31" s="32" t="str">
        <f t="shared" si="11"/>
        <v/>
      </c>
      <c r="J31" s="342" t="str">
        <f t="shared" si="12"/>
        <v/>
      </c>
      <c r="K31" s="343" t="str">
        <f t="shared" si="13"/>
        <v/>
      </c>
      <c r="L31" s="341" t="str">
        <f t="shared" si="14"/>
        <v/>
      </c>
      <c r="M31" s="344"/>
      <c r="N31" s="38" t="str">
        <f>IF(原価内訳書!N31="","",原価内訳書!N31)</f>
        <v/>
      </c>
      <c r="O31" s="71" t="str">
        <f>IF(H31="","",1-(原価内訳書!H31/お客様提示用内訳書!H31))</f>
        <v/>
      </c>
    </row>
    <row r="32" spans="1:16" ht="18.75" customHeight="1">
      <c r="A32" s="340" t="str">
        <f>IF(原価内訳書!A32="","",原価内訳書!A32)</f>
        <v/>
      </c>
      <c r="B32" s="42" t="str">
        <f>IF(原価内訳書!B32="","",原価内訳書!B32)</f>
        <v/>
      </c>
      <c r="C32" s="28" t="str">
        <f>IF(原価内訳書!C32="","",原価内訳書!C32)</f>
        <v/>
      </c>
      <c r="D32" s="28" t="str">
        <f>IF(原価内訳書!D32="","",原価内訳書!D32)</f>
        <v/>
      </c>
      <c r="E32" s="32" t="str">
        <f>IF(原価内訳書!E32="","",原価内訳書!E32)</f>
        <v/>
      </c>
      <c r="F32" s="35" t="str">
        <f>IF(原価内訳書!F32="","",原価内訳書!F32)</f>
        <v/>
      </c>
      <c r="G32" s="37" t="str">
        <f>IF(原価内訳書!G32="","",原価内訳書!G32/(1-お客様提示用内訳書!$Q$3/100))</f>
        <v/>
      </c>
      <c r="H32" s="341" t="str">
        <f t="shared" si="10"/>
        <v/>
      </c>
      <c r="I32" s="32" t="str">
        <f t="shared" si="11"/>
        <v/>
      </c>
      <c r="J32" s="342" t="str">
        <f t="shared" si="12"/>
        <v/>
      </c>
      <c r="K32" s="343" t="str">
        <f t="shared" si="13"/>
        <v/>
      </c>
      <c r="L32" s="341" t="str">
        <f t="shared" si="14"/>
        <v/>
      </c>
      <c r="M32" s="344"/>
      <c r="N32" s="38" t="str">
        <f>IF(原価内訳書!N32="","",原価内訳書!N32)</f>
        <v/>
      </c>
      <c r="O32" s="71" t="str">
        <f>IF(H32="","",1-(原価内訳書!H32/お客様提示用内訳書!H32))</f>
        <v/>
      </c>
    </row>
    <row r="33" spans="1:15" ht="18.75" customHeight="1">
      <c r="A33" s="340" t="str">
        <f>IF(原価内訳書!A33="","",原価内訳書!A33)</f>
        <v/>
      </c>
      <c r="B33" s="42" t="str">
        <f>IF(原価内訳書!B33="","",原価内訳書!B33)</f>
        <v/>
      </c>
      <c r="C33" s="28" t="str">
        <f>IF(原価内訳書!C33="","",原価内訳書!C33)</f>
        <v/>
      </c>
      <c r="D33" s="28" t="str">
        <f>IF(原価内訳書!D33="","",原価内訳書!D33)</f>
        <v/>
      </c>
      <c r="E33" s="32" t="str">
        <f>IF(原価内訳書!E33="","",原価内訳書!E33)</f>
        <v/>
      </c>
      <c r="F33" s="35" t="str">
        <f>IF(原価内訳書!F33="","",原価内訳書!F33)</f>
        <v/>
      </c>
      <c r="G33" s="37" t="str">
        <f>IF(原価内訳書!G33="","",原価内訳書!G33/(1-お客様提示用内訳書!$Q$3/100))</f>
        <v/>
      </c>
      <c r="H33" s="341" t="str">
        <f t="shared" si="10"/>
        <v/>
      </c>
      <c r="I33" s="32" t="str">
        <f t="shared" si="11"/>
        <v/>
      </c>
      <c r="J33" s="342" t="str">
        <f t="shared" si="12"/>
        <v/>
      </c>
      <c r="K33" s="343" t="str">
        <f t="shared" si="13"/>
        <v/>
      </c>
      <c r="L33" s="341" t="str">
        <f t="shared" si="14"/>
        <v/>
      </c>
      <c r="M33" s="344"/>
      <c r="N33" s="38" t="str">
        <f>IF(原価内訳書!N33="","",原価内訳書!N33)</f>
        <v/>
      </c>
      <c r="O33" s="71" t="str">
        <f>IF(H33="","",1-(原価内訳書!H33/お客様提示用内訳書!H33))</f>
        <v/>
      </c>
    </row>
    <row r="34" spans="1:15" ht="18.75" customHeight="1">
      <c r="A34" s="340" t="str">
        <f>IF(原価内訳書!A34="","",原価内訳書!A34)</f>
        <v/>
      </c>
      <c r="B34" s="42" t="str">
        <f>IF(原価内訳書!B34="","",原価内訳書!B34)</f>
        <v/>
      </c>
      <c r="C34" s="28" t="str">
        <f>IF(原価内訳書!C34="","",原価内訳書!C34)</f>
        <v/>
      </c>
      <c r="D34" s="28" t="str">
        <f>IF(原価内訳書!D34="","",原価内訳書!D34)</f>
        <v/>
      </c>
      <c r="E34" s="32" t="str">
        <f>IF(原価内訳書!E34="","",原価内訳書!E34)</f>
        <v/>
      </c>
      <c r="F34" s="35" t="str">
        <f>IF(原価内訳書!F34="","",原価内訳書!F34)</f>
        <v/>
      </c>
      <c r="G34" s="37" t="str">
        <f>IF(原価内訳書!G34="","",原価内訳書!G34/(1-お客様提示用内訳書!$Q$3/100))</f>
        <v/>
      </c>
      <c r="H34" s="341" t="str">
        <f t="shared" si="10"/>
        <v/>
      </c>
      <c r="I34" s="32" t="str">
        <f t="shared" si="11"/>
        <v/>
      </c>
      <c r="J34" s="342" t="str">
        <f t="shared" si="12"/>
        <v/>
      </c>
      <c r="K34" s="343" t="str">
        <f t="shared" si="13"/>
        <v/>
      </c>
      <c r="L34" s="341" t="str">
        <f t="shared" si="14"/>
        <v/>
      </c>
      <c r="M34" s="344"/>
      <c r="N34" s="38" t="str">
        <f>IF(原価内訳書!N34="","",原価内訳書!N34)</f>
        <v/>
      </c>
      <c r="O34" s="71" t="str">
        <f>IF(H34="","",1-(原価内訳書!H34/お客様提示用内訳書!H34))</f>
        <v/>
      </c>
    </row>
    <row r="35" spans="1:15" ht="18.75" customHeight="1">
      <c r="A35" s="340" t="str">
        <f>IF(原価内訳書!A35="","",原価内訳書!A35)</f>
        <v/>
      </c>
      <c r="B35" s="42" t="str">
        <f>IF(原価内訳書!B35="","",原価内訳書!B35)</f>
        <v/>
      </c>
      <c r="C35" s="28" t="str">
        <f>IF(原価内訳書!C35="","",原価内訳書!C35)</f>
        <v/>
      </c>
      <c r="D35" s="28" t="str">
        <f>IF(原価内訳書!D35="","",原価内訳書!D35)</f>
        <v/>
      </c>
      <c r="E35" s="32" t="str">
        <f>IF(原価内訳書!E35="","",原価内訳書!E35)</f>
        <v/>
      </c>
      <c r="F35" s="35" t="str">
        <f>IF(原価内訳書!F35="","",原価内訳書!F35)</f>
        <v/>
      </c>
      <c r="G35" s="37" t="str">
        <f>IF(原価内訳書!G35="","",原価内訳書!G35/(1-お客様提示用内訳書!$Q$3/100))</f>
        <v/>
      </c>
      <c r="H35" s="341" t="str">
        <f t="shared" si="10"/>
        <v/>
      </c>
      <c r="I35" s="32" t="str">
        <f t="shared" si="11"/>
        <v/>
      </c>
      <c r="J35" s="342" t="str">
        <f t="shared" si="12"/>
        <v/>
      </c>
      <c r="K35" s="343" t="str">
        <f t="shared" si="13"/>
        <v/>
      </c>
      <c r="L35" s="341" t="str">
        <f t="shared" si="14"/>
        <v/>
      </c>
      <c r="M35" s="344"/>
      <c r="N35" s="38" t="str">
        <f>IF(原価内訳書!N35="","",原価内訳書!N35)</f>
        <v/>
      </c>
      <c r="O35" s="71" t="str">
        <f>IF(H35="","",1-(原価内訳書!H35/お客様提示用内訳書!H35))</f>
        <v/>
      </c>
    </row>
    <row r="36" spans="1:15" ht="18.75" customHeight="1">
      <c r="A36" s="340" t="str">
        <f>IF(原価内訳書!A36="","",原価内訳書!A36)</f>
        <v/>
      </c>
      <c r="B36" s="42" t="str">
        <f>IF(原価内訳書!B36="","",原価内訳書!B36)</f>
        <v/>
      </c>
      <c r="C36" s="28" t="str">
        <f>IF(原価内訳書!C36="","",原価内訳書!C36)</f>
        <v/>
      </c>
      <c r="D36" s="28" t="str">
        <f>IF(原価内訳書!D36="","",原価内訳書!D36)</f>
        <v/>
      </c>
      <c r="E36" s="32" t="str">
        <f>IF(原価内訳書!E36="","",原価内訳書!E36)</f>
        <v/>
      </c>
      <c r="F36" s="35" t="str">
        <f>IF(原価内訳書!F36="","",原価内訳書!F36)</f>
        <v/>
      </c>
      <c r="G36" s="37" t="str">
        <f>IF(原価内訳書!G36="","",原価内訳書!G36/(1-お客様提示用内訳書!$Q$3/100))</f>
        <v/>
      </c>
      <c r="H36" s="341" t="str">
        <f t="shared" si="10"/>
        <v/>
      </c>
      <c r="I36" s="32" t="str">
        <f t="shared" si="11"/>
        <v/>
      </c>
      <c r="J36" s="342" t="str">
        <f t="shared" si="12"/>
        <v/>
      </c>
      <c r="K36" s="343" t="str">
        <f t="shared" si="13"/>
        <v/>
      </c>
      <c r="L36" s="341" t="str">
        <f t="shared" si="14"/>
        <v/>
      </c>
      <c r="M36" s="344"/>
      <c r="N36" s="38" t="str">
        <f>IF(原価内訳書!N36="","",原価内訳書!N36)</f>
        <v/>
      </c>
      <c r="O36" s="71" t="str">
        <f>IF(H36="","",1-(原価内訳書!H36/お客様提示用内訳書!H36))</f>
        <v/>
      </c>
    </row>
    <row r="37" spans="1:15" ht="18.75" customHeight="1">
      <c r="A37" s="340" t="str">
        <f>IF(原価内訳書!A37="","",原価内訳書!A37)</f>
        <v/>
      </c>
      <c r="B37" s="42" t="str">
        <f>IF(原価内訳書!B37="","",原価内訳書!B37)</f>
        <v/>
      </c>
      <c r="C37" s="28" t="str">
        <f>IF(原価内訳書!C37="","",原価内訳書!C37)</f>
        <v/>
      </c>
      <c r="D37" s="28" t="str">
        <f>IF(原価内訳書!D37="","",原価内訳書!D37)</f>
        <v/>
      </c>
      <c r="E37" s="32" t="str">
        <f>IF(原価内訳書!E37="","",原価内訳書!E37)</f>
        <v/>
      </c>
      <c r="F37" s="35" t="str">
        <f>IF(原価内訳書!F37="","",原価内訳書!F37)</f>
        <v/>
      </c>
      <c r="G37" s="37" t="str">
        <f>IF(原価内訳書!G37="","",原価内訳書!G37/(1-お客様提示用内訳書!$Q$3/100))</f>
        <v/>
      </c>
      <c r="H37" s="341" t="str">
        <f t="shared" ref="H37:H46" si="15">IF(G37="","",E37*G37)</f>
        <v/>
      </c>
      <c r="I37" s="32" t="str">
        <f t="shared" ref="I37:I46" si="16">IF(E37="","",E37)</f>
        <v/>
      </c>
      <c r="J37" s="342" t="str">
        <f t="shared" ref="J37:J46" si="17">IF(F37="","",F37)</f>
        <v/>
      </c>
      <c r="K37" s="343" t="str">
        <f t="shared" ref="K37:K46" si="18">IF(G37="","",G37)</f>
        <v/>
      </c>
      <c r="L37" s="341" t="str">
        <f t="shared" ref="L37:L46" si="19">IF(H37="","",H37)</f>
        <v/>
      </c>
      <c r="M37" s="344"/>
      <c r="N37" s="38" t="str">
        <f>IF(原価内訳書!N37="","",原価内訳書!N37)</f>
        <v/>
      </c>
      <c r="O37" s="71" t="str">
        <f>IF(H37="","",1-(原価内訳書!H37/お客様提示用内訳書!H37))</f>
        <v/>
      </c>
    </row>
    <row r="38" spans="1:15" ht="18.75" customHeight="1">
      <c r="A38" s="340" t="str">
        <f>IF(原価内訳書!A38="","",原価内訳書!A38)</f>
        <v/>
      </c>
      <c r="B38" s="42" t="str">
        <f>IF(原価内訳書!B38="","",原価内訳書!B38)</f>
        <v/>
      </c>
      <c r="C38" s="28" t="str">
        <f>IF(原価内訳書!C38="","",原価内訳書!C38)</f>
        <v/>
      </c>
      <c r="D38" s="28" t="str">
        <f>IF(原価内訳書!D38="","",原価内訳書!D38)</f>
        <v/>
      </c>
      <c r="E38" s="32" t="str">
        <f>IF(原価内訳書!E38="","",原価内訳書!E38)</f>
        <v/>
      </c>
      <c r="F38" s="35" t="str">
        <f>IF(原価内訳書!F38="","",原価内訳書!F38)</f>
        <v/>
      </c>
      <c r="G38" s="37" t="str">
        <f>IF(原価内訳書!G38="","",原価内訳書!G38/(1-お客様提示用内訳書!$Q$3/100))</f>
        <v/>
      </c>
      <c r="H38" s="341" t="str">
        <f t="shared" si="15"/>
        <v/>
      </c>
      <c r="I38" s="32" t="str">
        <f t="shared" si="16"/>
        <v/>
      </c>
      <c r="J38" s="342" t="str">
        <f t="shared" si="17"/>
        <v/>
      </c>
      <c r="K38" s="343" t="str">
        <f t="shared" si="18"/>
        <v/>
      </c>
      <c r="L38" s="341" t="str">
        <f t="shared" si="19"/>
        <v/>
      </c>
      <c r="M38" s="344"/>
      <c r="N38" s="38" t="str">
        <f>IF(原価内訳書!N38="","",原価内訳書!N38)</f>
        <v/>
      </c>
      <c r="O38" s="71" t="str">
        <f>IF(H38="","",1-(原価内訳書!H38/お客様提示用内訳書!H38))</f>
        <v/>
      </c>
    </row>
    <row r="39" spans="1:15" ht="18.75" customHeight="1">
      <c r="A39" s="340" t="str">
        <f>IF(原価内訳書!A39="","",原価内訳書!A39)</f>
        <v/>
      </c>
      <c r="B39" s="42" t="str">
        <f>IF(原価内訳書!B39="","",原価内訳書!B39)</f>
        <v/>
      </c>
      <c r="C39" s="28" t="str">
        <f>IF(原価内訳書!C39="","",原価内訳書!C39)</f>
        <v/>
      </c>
      <c r="D39" s="28" t="str">
        <f>IF(原価内訳書!D39="","",原価内訳書!D39)</f>
        <v/>
      </c>
      <c r="E39" s="32" t="str">
        <f>IF(原価内訳書!E39="","",原価内訳書!E39)</f>
        <v/>
      </c>
      <c r="F39" s="35" t="str">
        <f>IF(原価内訳書!F39="","",原価内訳書!F39)</f>
        <v/>
      </c>
      <c r="G39" s="37" t="str">
        <f>IF(原価内訳書!G39="","",原価内訳書!G39/(1-お客様提示用内訳書!$Q$3/100))</f>
        <v/>
      </c>
      <c r="H39" s="341" t="str">
        <f t="shared" si="15"/>
        <v/>
      </c>
      <c r="I39" s="32" t="str">
        <f t="shared" si="16"/>
        <v/>
      </c>
      <c r="J39" s="342" t="str">
        <f t="shared" si="17"/>
        <v/>
      </c>
      <c r="K39" s="343" t="str">
        <f t="shared" si="18"/>
        <v/>
      </c>
      <c r="L39" s="341" t="str">
        <f t="shared" si="19"/>
        <v/>
      </c>
      <c r="M39" s="344"/>
      <c r="N39" s="38" t="str">
        <f>IF(原価内訳書!N39="","",原価内訳書!N39)</f>
        <v/>
      </c>
      <c r="O39" s="71" t="str">
        <f>IF(H39="","",1-(原価内訳書!H39/お客様提示用内訳書!H39))</f>
        <v/>
      </c>
    </row>
    <row r="40" spans="1:15" ht="18.75" customHeight="1">
      <c r="A40" s="340" t="str">
        <f>IF(原価内訳書!A40="","",原価内訳書!A40)</f>
        <v/>
      </c>
      <c r="B40" s="42" t="str">
        <f>IF(原価内訳書!B40="","",原価内訳書!B40)</f>
        <v/>
      </c>
      <c r="C40" s="28" t="str">
        <f>IF(原価内訳書!C40="","",原価内訳書!C40)</f>
        <v/>
      </c>
      <c r="D40" s="28" t="str">
        <f>IF(原価内訳書!D40="","",原価内訳書!D40)</f>
        <v/>
      </c>
      <c r="E40" s="32" t="str">
        <f>IF(原価内訳書!E40="","",原価内訳書!E40)</f>
        <v/>
      </c>
      <c r="F40" s="35" t="str">
        <f>IF(原価内訳書!F40="","",原価内訳書!F40)</f>
        <v/>
      </c>
      <c r="G40" s="37" t="str">
        <f>IF(原価内訳書!G40="","",原価内訳書!G40/(1-お客様提示用内訳書!$Q$3/100))</f>
        <v/>
      </c>
      <c r="H40" s="341" t="str">
        <f t="shared" si="15"/>
        <v/>
      </c>
      <c r="I40" s="32" t="str">
        <f t="shared" si="16"/>
        <v/>
      </c>
      <c r="J40" s="342" t="str">
        <f t="shared" si="17"/>
        <v/>
      </c>
      <c r="K40" s="343" t="str">
        <f t="shared" si="18"/>
        <v/>
      </c>
      <c r="L40" s="341" t="str">
        <f t="shared" si="19"/>
        <v/>
      </c>
      <c r="M40" s="344"/>
      <c r="N40" s="38" t="str">
        <f>IF(原価内訳書!N40="","",原価内訳書!N40)</f>
        <v/>
      </c>
      <c r="O40" s="71" t="str">
        <f>IF(H40="","",1-(原価内訳書!H40/お客様提示用内訳書!H40))</f>
        <v/>
      </c>
    </row>
    <row r="41" spans="1:15" ht="19.25" customHeight="1">
      <c r="A41" s="340" t="str">
        <f>IF(原価内訳書!A41="","",原価内訳書!A41)</f>
        <v/>
      </c>
      <c r="B41" s="42" t="str">
        <f>IF(原価内訳書!B41="","",原価内訳書!B41)</f>
        <v/>
      </c>
      <c r="C41" s="28" t="str">
        <f>IF(原価内訳書!C41="","",原価内訳書!C41)</f>
        <v/>
      </c>
      <c r="D41" s="28" t="str">
        <f>IF(原価内訳書!D41="","",原価内訳書!D41)</f>
        <v/>
      </c>
      <c r="E41" s="32" t="str">
        <f>IF(原価内訳書!E41="","",原価内訳書!E41)</f>
        <v/>
      </c>
      <c r="F41" s="35" t="str">
        <f>IF(原価内訳書!F41="","",原価内訳書!F41)</f>
        <v/>
      </c>
      <c r="G41" s="37" t="str">
        <f>IF(原価内訳書!G41="","",原価内訳書!G41/(1-お客様提示用内訳書!$Q$3/100))</f>
        <v/>
      </c>
      <c r="H41" s="341" t="str">
        <f t="shared" si="15"/>
        <v/>
      </c>
      <c r="I41" s="32" t="str">
        <f t="shared" si="16"/>
        <v/>
      </c>
      <c r="J41" s="342" t="str">
        <f t="shared" si="17"/>
        <v/>
      </c>
      <c r="K41" s="343" t="str">
        <f t="shared" si="18"/>
        <v/>
      </c>
      <c r="L41" s="341" t="str">
        <f t="shared" si="19"/>
        <v/>
      </c>
      <c r="M41" s="344"/>
      <c r="N41" s="38" t="str">
        <f>IF(原価内訳書!N41="","",原価内訳書!N41)</f>
        <v/>
      </c>
      <c r="O41" s="71" t="str">
        <f>IF(H41="","",1-(原価内訳書!H41/お客様提示用内訳書!H41))</f>
        <v/>
      </c>
    </row>
    <row r="42" spans="1:15" ht="19.25" customHeight="1">
      <c r="A42" s="340" t="str">
        <f>IF(原価内訳書!A42="","",原価内訳書!A42)</f>
        <v/>
      </c>
      <c r="B42" s="42" t="str">
        <f>IF(原価内訳書!B42="","",原価内訳書!B42)</f>
        <v/>
      </c>
      <c r="C42" s="28" t="str">
        <f>IF(原価内訳書!C42="","",原価内訳書!C42)</f>
        <v/>
      </c>
      <c r="D42" s="28" t="str">
        <f>IF(原価内訳書!D42="","",原価内訳書!D42)</f>
        <v/>
      </c>
      <c r="E42" s="32" t="str">
        <f>IF(原価内訳書!E42="","",原価内訳書!E42)</f>
        <v/>
      </c>
      <c r="F42" s="35" t="str">
        <f>IF(原価内訳書!F42="","",原価内訳書!F42)</f>
        <v/>
      </c>
      <c r="G42" s="37" t="str">
        <f>IF(原価内訳書!G42="","",原価内訳書!G42/(1-お客様提示用内訳書!$Q$3/100))</f>
        <v/>
      </c>
      <c r="H42" s="341" t="str">
        <f t="shared" si="15"/>
        <v/>
      </c>
      <c r="I42" s="32" t="str">
        <f t="shared" si="16"/>
        <v/>
      </c>
      <c r="J42" s="342" t="str">
        <f t="shared" si="17"/>
        <v/>
      </c>
      <c r="K42" s="343" t="str">
        <f t="shared" si="18"/>
        <v/>
      </c>
      <c r="L42" s="341" t="str">
        <f t="shared" si="19"/>
        <v/>
      </c>
      <c r="M42" s="344"/>
      <c r="N42" s="38" t="str">
        <f>IF(原価内訳書!N42="","",原価内訳書!N42)</f>
        <v/>
      </c>
      <c r="O42" s="71" t="str">
        <f>IF(H42="","",1-(原価内訳書!H42/お客様提示用内訳書!H42))</f>
        <v/>
      </c>
    </row>
    <row r="43" spans="1:15" ht="19.25" customHeight="1">
      <c r="A43" s="340" t="str">
        <f>IF(原価内訳書!A43="","",原価内訳書!A43)</f>
        <v/>
      </c>
      <c r="B43" s="42" t="str">
        <f>IF(原価内訳書!B43="","",原価内訳書!B43)</f>
        <v/>
      </c>
      <c r="C43" s="28" t="str">
        <f>IF(原価内訳書!C43="","",原価内訳書!C43)</f>
        <v/>
      </c>
      <c r="D43" s="28" t="str">
        <f>IF(原価内訳書!D43="","",原価内訳書!D43)</f>
        <v/>
      </c>
      <c r="E43" s="32" t="str">
        <f>IF(原価内訳書!E43="","",原価内訳書!E43)</f>
        <v/>
      </c>
      <c r="F43" s="35" t="str">
        <f>IF(原価内訳書!F43="","",原価内訳書!F43)</f>
        <v/>
      </c>
      <c r="G43" s="37" t="str">
        <f>IF(原価内訳書!G43="","",原価内訳書!G43/(1-お客様提示用内訳書!$Q$3/100))</f>
        <v/>
      </c>
      <c r="H43" s="341" t="str">
        <f t="shared" si="15"/>
        <v/>
      </c>
      <c r="I43" s="32" t="str">
        <f t="shared" si="16"/>
        <v/>
      </c>
      <c r="J43" s="342" t="str">
        <f t="shared" si="17"/>
        <v/>
      </c>
      <c r="K43" s="343" t="str">
        <f t="shared" si="18"/>
        <v/>
      </c>
      <c r="L43" s="341" t="str">
        <f t="shared" si="19"/>
        <v/>
      </c>
      <c r="M43" s="344"/>
      <c r="N43" s="38" t="str">
        <f>IF(原価内訳書!N43="","",原価内訳書!N43)</f>
        <v/>
      </c>
      <c r="O43" s="71" t="str">
        <f>IF(H43="","",1-(原価内訳書!H43/お客様提示用内訳書!H43))</f>
        <v/>
      </c>
    </row>
    <row r="44" spans="1:15" ht="19.25" customHeight="1">
      <c r="A44" s="340" t="str">
        <f>IF(原価内訳書!A44="","",原価内訳書!A44)</f>
        <v/>
      </c>
      <c r="B44" s="42" t="str">
        <f>IF(原価内訳書!B44="","",原価内訳書!B44)</f>
        <v/>
      </c>
      <c r="C44" s="28" t="str">
        <f>IF(原価内訳書!C44="","",原価内訳書!C44)</f>
        <v/>
      </c>
      <c r="D44" s="28" t="str">
        <f>IF(原価内訳書!D44="","",原価内訳書!D44)</f>
        <v/>
      </c>
      <c r="E44" s="32" t="str">
        <f>IF(原価内訳書!E44="","",原価内訳書!E44)</f>
        <v/>
      </c>
      <c r="F44" s="35" t="str">
        <f>IF(原価内訳書!F44="","",原価内訳書!F44)</f>
        <v/>
      </c>
      <c r="G44" s="37" t="str">
        <f>IF(原価内訳書!G44="","",原価内訳書!G44/(1-お客様提示用内訳書!$Q$3/100))</f>
        <v/>
      </c>
      <c r="H44" s="341" t="str">
        <f t="shared" si="15"/>
        <v/>
      </c>
      <c r="I44" s="32" t="str">
        <f t="shared" si="16"/>
        <v/>
      </c>
      <c r="J44" s="342" t="str">
        <f t="shared" si="17"/>
        <v/>
      </c>
      <c r="K44" s="343" t="str">
        <f t="shared" si="18"/>
        <v/>
      </c>
      <c r="L44" s="341" t="str">
        <f t="shared" si="19"/>
        <v/>
      </c>
      <c r="M44" s="344"/>
      <c r="N44" s="38" t="str">
        <f>IF(原価内訳書!N44="","",原価内訳書!N44)</f>
        <v/>
      </c>
      <c r="O44" s="71" t="str">
        <f>IF(H44="","",1-(原価内訳書!H44/お客様提示用内訳書!H44))</f>
        <v/>
      </c>
    </row>
    <row r="45" spans="1:15" ht="19.25" customHeight="1">
      <c r="A45" s="340" t="str">
        <f>IF(原価内訳書!A45="","",原価内訳書!A45)</f>
        <v/>
      </c>
      <c r="B45" s="42" t="str">
        <f>IF(原価内訳書!B45="","",原価内訳書!B45)</f>
        <v/>
      </c>
      <c r="C45" s="28" t="str">
        <f>IF(原価内訳書!C45="","",原価内訳書!C45)</f>
        <v/>
      </c>
      <c r="D45" s="28" t="str">
        <f>IF(原価内訳書!D45="","",原価内訳書!D45)</f>
        <v/>
      </c>
      <c r="E45" s="32" t="str">
        <f>IF(原価内訳書!E45="","",原価内訳書!E45)</f>
        <v/>
      </c>
      <c r="F45" s="35" t="str">
        <f>IF(原価内訳書!F45="","",原価内訳書!F45)</f>
        <v/>
      </c>
      <c r="G45" s="37" t="str">
        <f>IF(原価内訳書!G45="","",原価内訳書!G45/(1-お客様提示用内訳書!$Q$3/100))</f>
        <v/>
      </c>
      <c r="H45" s="341" t="str">
        <f t="shared" si="15"/>
        <v/>
      </c>
      <c r="I45" s="32" t="str">
        <f t="shared" si="16"/>
        <v/>
      </c>
      <c r="J45" s="342" t="str">
        <f t="shared" si="17"/>
        <v/>
      </c>
      <c r="K45" s="343" t="str">
        <f t="shared" si="18"/>
        <v/>
      </c>
      <c r="L45" s="341" t="str">
        <f t="shared" si="19"/>
        <v/>
      </c>
      <c r="M45" s="344"/>
      <c r="N45" s="38" t="str">
        <f>IF(原価内訳書!N45="","",原価内訳書!N45)</f>
        <v/>
      </c>
      <c r="O45" s="71" t="str">
        <f>IF(H45="","",1-(原価内訳書!H45/お客様提示用内訳書!H45))</f>
        <v/>
      </c>
    </row>
    <row r="46" spans="1:15" ht="19.25" customHeight="1">
      <c r="A46" s="340" t="str">
        <f>IF(原価内訳書!A46="","",原価内訳書!A46)</f>
        <v/>
      </c>
      <c r="B46" s="42" t="str">
        <f>IF(原価内訳書!B46="","",原価内訳書!B46)</f>
        <v/>
      </c>
      <c r="C46" s="28" t="str">
        <f>IF(原価内訳書!C46="","",原価内訳書!C46)</f>
        <v/>
      </c>
      <c r="D46" s="28" t="str">
        <f>IF(原価内訳書!D46="","",原価内訳書!D46)</f>
        <v/>
      </c>
      <c r="E46" s="32" t="str">
        <f>IF(原価内訳書!E46="","",原価内訳書!E46)</f>
        <v/>
      </c>
      <c r="F46" s="35" t="str">
        <f>IF(原価内訳書!F46="","",原価内訳書!F46)</f>
        <v/>
      </c>
      <c r="G46" s="37" t="str">
        <f>IF(原価内訳書!G46="","",原価内訳書!G46/(1-お客様提示用内訳書!$Q$3/100))</f>
        <v/>
      </c>
      <c r="H46" s="341" t="str">
        <f t="shared" si="15"/>
        <v/>
      </c>
      <c r="I46" s="32" t="str">
        <f t="shared" si="16"/>
        <v/>
      </c>
      <c r="J46" s="342" t="str">
        <f t="shared" si="17"/>
        <v/>
      </c>
      <c r="K46" s="343" t="str">
        <f t="shared" si="18"/>
        <v/>
      </c>
      <c r="L46" s="341" t="str">
        <f t="shared" si="19"/>
        <v/>
      </c>
      <c r="M46" s="344"/>
      <c r="N46" s="38" t="str">
        <f>IF(原価内訳書!N46="","",原価内訳書!N46)</f>
        <v/>
      </c>
      <c r="O46" s="71" t="str">
        <f>IF(H46="","",1-(原価内訳書!H46/お客様提示用内訳書!H46))</f>
        <v/>
      </c>
    </row>
    <row r="47" spans="1:15" ht="19.25" customHeight="1">
      <c r="A47" s="40"/>
      <c r="B47" s="43"/>
      <c r="C47" s="350"/>
      <c r="D47" s="383" t="s">
        <v>12</v>
      </c>
      <c r="E47" s="384"/>
      <c r="F47" s="384"/>
      <c r="G47" s="385"/>
      <c r="H47" s="15">
        <f>SUM(H9:H46)</f>
        <v>0</v>
      </c>
      <c r="I47" s="60"/>
      <c r="J47" s="61"/>
      <c r="K47" s="62"/>
      <c r="L47" s="26">
        <f>SUM(L9:L46)</f>
        <v>0</v>
      </c>
      <c r="M47" s="68"/>
      <c r="N47" s="38"/>
      <c r="O47" s="71" t="e">
        <f>IF(H47="","",1-(原価内訳書!H85/お客様提示用内訳書!H47))</f>
        <v>#DIV/0!</v>
      </c>
    </row>
    <row r="48" spans="1:15" ht="19.25" customHeight="1">
      <c r="A48" s="40"/>
      <c r="B48" s="42"/>
      <c r="C48" s="351"/>
      <c r="D48" s="383" t="s">
        <v>26</v>
      </c>
      <c r="E48" s="384"/>
      <c r="F48" s="384"/>
      <c r="G48" s="385"/>
      <c r="H48" s="15"/>
      <c r="I48" s="60"/>
      <c r="J48" s="61"/>
      <c r="K48" s="62"/>
      <c r="L48" s="26" t="str">
        <f>IF(H48="","",H48)</f>
        <v/>
      </c>
      <c r="M48" s="68"/>
      <c r="N48" s="38"/>
      <c r="O48" s="71" t="str">
        <f>IF(H48="","",1-(原価内訳書!H86/お客様提示用内訳書!H48))</f>
        <v/>
      </c>
    </row>
    <row r="49" spans="1:16" ht="19.25" customHeight="1">
      <c r="A49" s="40"/>
      <c r="B49" s="42"/>
      <c r="C49" s="351"/>
      <c r="D49" s="383" t="s">
        <v>13</v>
      </c>
      <c r="E49" s="384"/>
      <c r="F49" s="384"/>
      <c r="G49" s="385"/>
      <c r="H49" s="15">
        <f>ROUNDDOWN((H47+H48)*(10/100),0)</f>
        <v>0</v>
      </c>
      <c r="I49" s="60"/>
      <c r="J49" s="61"/>
      <c r="K49" s="63"/>
      <c r="L49" s="26" t="e">
        <f>ROUNDDOWN((L47+L48)*(10/100),0)</f>
        <v>#VALUE!</v>
      </c>
      <c r="M49" s="68">
        <f>ROUNDDOWN(M47*(8/100),0)</f>
        <v>0</v>
      </c>
      <c r="N49" s="38"/>
      <c r="O49" s="71" t="e">
        <f>IF(H49="","",1-(原価内訳書!H87/お客様提示用内訳書!H49))</f>
        <v>#DIV/0!</v>
      </c>
    </row>
    <row r="50" spans="1:16" ht="19.25" customHeight="1" thickBot="1">
      <c r="A50" s="41"/>
      <c r="B50" s="44"/>
      <c r="C50" s="352"/>
      <c r="D50" s="386" t="s">
        <v>14</v>
      </c>
      <c r="E50" s="387"/>
      <c r="F50" s="387"/>
      <c r="G50" s="388"/>
      <c r="H50" s="16">
        <f>SUM(H47:H49)</f>
        <v>0</v>
      </c>
      <c r="I50" s="64"/>
      <c r="J50" s="65"/>
      <c r="K50" s="66"/>
      <c r="L50" s="29" t="e">
        <f>SUM(L47:L49)</f>
        <v>#VALUE!</v>
      </c>
      <c r="M50" s="69">
        <f>SUM(M47:M49)</f>
        <v>0</v>
      </c>
      <c r="N50" s="39"/>
      <c r="O50" s="408" t="e">
        <f>IF(H50="","",1-(原価内訳書!H88/お客様提示用内訳書!H50))</f>
        <v>#DIV/0!</v>
      </c>
      <c r="P50" s="409" t="s">
        <v>1232</v>
      </c>
    </row>
  </sheetData>
  <mergeCells count="21">
    <mergeCell ref="U10:Z13"/>
    <mergeCell ref="U2:Z5"/>
    <mergeCell ref="P7:P8"/>
    <mergeCell ref="O7:O8"/>
    <mergeCell ref="M1:N1"/>
    <mergeCell ref="A1:L1"/>
    <mergeCell ref="A3:B3"/>
    <mergeCell ref="A4:B4"/>
    <mergeCell ref="A7:A8"/>
    <mergeCell ref="B5:D5"/>
    <mergeCell ref="B7:B8"/>
    <mergeCell ref="D7:D8"/>
    <mergeCell ref="G7:G8"/>
    <mergeCell ref="H7:H8"/>
    <mergeCell ref="E7:F8"/>
    <mergeCell ref="I7:L7"/>
    <mergeCell ref="I2:N5"/>
    <mergeCell ref="M7:M8"/>
    <mergeCell ref="N7:N8"/>
    <mergeCell ref="I8:J8"/>
    <mergeCell ref="C7:C8"/>
  </mergeCells>
  <phoneticPr fontId="3"/>
  <pageMargins left="0.59055118110236227" right="0.39370078740157483" top="0.78740157480314965" bottom="0.78740157480314965" header="0.51181102362204722" footer="0.51181102362204722"/>
  <pageSetup paperSize="9" scale="87" fitToHeight="0" orientation="landscape" horizontalDpi="4294967293" verticalDpi="360" r:id="rId1"/>
  <headerFooter alignWithMargins="0"/>
  <colBreaks count="1" manualBreakCount="1">
    <brk id="14"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IQ540"/>
  <sheetViews>
    <sheetView view="pageBreakPreview" zoomScale="70" zoomScaleNormal="100" zoomScaleSheetLayoutView="70" workbookViewId="0">
      <selection activeCell="O28" sqref="O28"/>
    </sheetView>
  </sheetViews>
  <sheetFormatPr defaultColWidth="9" defaultRowHeight="13"/>
  <cols>
    <col min="1" max="2" width="8.6328125" style="120" customWidth="1"/>
    <col min="3" max="4" width="12.6328125" style="120" customWidth="1"/>
    <col min="5" max="5" width="4.6328125" style="120" customWidth="1"/>
    <col min="6" max="6" width="6.36328125" style="120" customWidth="1"/>
    <col min="7" max="7" width="8.6328125" style="120" customWidth="1"/>
    <col min="8" max="9" width="12.6328125" style="120" customWidth="1"/>
    <col min="10" max="16384" width="9" style="120"/>
  </cols>
  <sheetData>
    <row r="1" spans="1:251" ht="21">
      <c r="A1" s="545" t="s">
        <v>60</v>
      </c>
      <c r="B1" s="545"/>
      <c r="C1" s="545"/>
      <c r="D1" s="545"/>
      <c r="E1" s="545"/>
      <c r="F1" s="545"/>
      <c r="G1" s="545"/>
      <c r="H1" s="545"/>
      <c r="I1" s="545"/>
      <c r="J1" s="118"/>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c r="BI1" s="119"/>
      <c r="BJ1" s="119"/>
      <c r="BK1" s="119"/>
      <c r="BL1" s="119"/>
      <c r="BM1" s="119"/>
      <c r="BN1" s="119"/>
      <c r="BO1" s="119"/>
      <c r="BP1" s="119"/>
      <c r="BQ1" s="119"/>
      <c r="BR1" s="119"/>
      <c r="BS1" s="119"/>
      <c r="BT1" s="119"/>
      <c r="BU1" s="119"/>
      <c r="BV1" s="119"/>
      <c r="BW1" s="119"/>
      <c r="BX1" s="119"/>
      <c r="BY1" s="119"/>
      <c r="BZ1" s="119"/>
      <c r="CA1" s="119"/>
      <c r="CB1" s="119"/>
      <c r="CC1" s="119"/>
      <c r="CD1" s="119"/>
      <c r="CE1" s="119"/>
      <c r="CF1" s="119"/>
      <c r="CG1" s="119"/>
      <c r="CH1" s="119"/>
      <c r="CI1" s="119"/>
      <c r="CJ1" s="119"/>
      <c r="CK1" s="119"/>
      <c r="CL1" s="119"/>
      <c r="CM1" s="119"/>
      <c r="CN1" s="119"/>
      <c r="CO1" s="119"/>
      <c r="CP1" s="119"/>
      <c r="CQ1" s="119"/>
      <c r="CR1" s="119"/>
      <c r="CS1" s="119"/>
      <c r="CT1" s="119"/>
      <c r="CU1" s="119"/>
      <c r="CV1" s="119"/>
      <c r="CW1" s="119"/>
      <c r="CX1" s="119"/>
      <c r="CY1" s="119"/>
      <c r="CZ1" s="119"/>
      <c r="DA1" s="119"/>
      <c r="DB1" s="119"/>
      <c r="DC1" s="119"/>
      <c r="DD1" s="119"/>
      <c r="DE1" s="119"/>
      <c r="DF1" s="119"/>
      <c r="DG1" s="119"/>
      <c r="DH1" s="119"/>
      <c r="DI1" s="119"/>
      <c r="DJ1" s="119"/>
      <c r="DK1" s="119"/>
      <c r="DL1" s="119"/>
      <c r="DM1" s="119"/>
      <c r="DN1" s="119"/>
      <c r="DO1" s="119"/>
      <c r="DP1" s="119"/>
      <c r="DQ1" s="119"/>
      <c r="DR1" s="119"/>
      <c r="DS1" s="119"/>
      <c r="DT1" s="119"/>
      <c r="DU1" s="119"/>
      <c r="DV1" s="119"/>
      <c r="DW1" s="119"/>
      <c r="DX1" s="119"/>
      <c r="DY1" s="119"/>
      <c r="DZ1" s="119"/>
      <c r="EA1" s="119"/>
      <c r="EB1" s="119"/>
      <c r="EC1" s="119"/>
      <c r="ED1" s="119"/>
      <c r="EE1" s="119"/>
      <c r="EF1" s="119"/>
      <c r="EG1" s="119"/>
      <c r="EH1" s="119"/>
      <c r="EI1" s="119"/>
      <c r="EJ1" s="119"/>
      <c r="EK1" s="119"/>
      <c r="EL1" s="119"/>
      <c r="EM1" s="119"/>
      <c r="EN1" s="119"/>
      <c r="EO1" s="119"/>
      <c r="EP1" s="119"/>
      <c r="EQ1" s="119"/>
      <c r="ER1" s="119"/>
      <c r="ES1" s="119"/>
      <c r="ET1" s="119"/>
      <c r="EU1" s="119"/>
      <c r="EV1" s="119"/>
      <c r="EW1" s="119"/>
      <c r="EX1" s="119"/>
      <c r="EY1" s="119"/>
      <c r="EZ1" s="119"/>
      <c r="FA1" s="119"/>
      <c r="FB1" s="119"/>
      <c r="FC1" s="119"/>
      <c r="FD1" s="119"/>
      <c r="FE1" s="119"/>
      <c r="FF1" s="119"/>
      <c r="FG1" s="119"/>
      <c r="FH1" s="119"/>
      <c r="FI1" s="119"/>
      <c r="FJ1" s="119"/>
      <c r="FK1" s="119"/>
      <c r="FL1" s="119"/>
      <c r="FM1" s="119"/>
      <c r="FN1" s="119"/>
      <c r="FO1" s="119"/>
      <c r="FP1" s="119"/>
      <c r="FQ1" s="119"/>
      <c r="FR1" s="119"/>
      <c r="FS1" s="119"/>
      <c r="FT1" s="119"/>
      <c r="FU1" s="119"/>
      <c r="FV1" s="119"/>
      <c r="FW1" s="119"/>
      <c r="FX1" s="119"/>
      <c r="FY1" s="119"/>
      <c r="FZ1" s="119"/>
      <c r="GA1" s="119"/>
      <c r="GB1" s="119"/>
      <c r="GC1" s="119"/>
      <c r="GD1" s="119"/>
      <c r="GE1" s="119"/>
      <c r="GF1" s="119"/>
      <c r="GG1" s="119"/>
      <c r="GH1" s="119"/>
      <c r="GI1" s="119"/>
      <c r="GJ1" s="119"/>
      <c r="GK1" s="119"/>
      <c r="GL1" s="119"/>
      <c r="GM1" s="119"/>
      <c r="GN1" s="119"/>
      <c r="GO1" s="119"/>
      <c r="GP1" s="119"/>
      <c r="GQ1" s="119"/>
      <c r="GR1" s="119"/>
      <c r="GS1" s="119"/>
      <c r="GT1" s="119"/>
      <c r="GU1" s="119"/>
      <c r="GV1" s="119"/>
      <c r="GW1" s="119"/>
      <c r="GX1" s="119"/>
      <c r="GY1" s="119"/>
      <c r="GZ1" s="119"/>
      <c r="HA1" s="119"/>
      <c r="HB1" s="119"/>
      <c r="HC1" s="119"/>
      <c r="HD1" s="119"/>
      <c r="HE1" s="119"/>
      <c r="HF1" s="119"/>
      <c r="HG1" s="119"/>
      <c r="HH1" s="119"/>
      <c r="HI1" s="119"/>
      <c r="HJ1" s="119"/>
      <c r="HK1" s="119"/>
      <c r="HL1" s="119"/>
      <c r="HM1" s="119"/>
      <c r="HN1" s="119"/>
      <c r="HO1" s="119"/>
      <c r="HP1" s="119"/>
      <c r="HQ1" s="119"/>
      <c r="HR1" s="119"/>
      <c r="HS1" s="119"/>
      <c r="HT1" s="119"/>
      <c r="HU1" s="119"/>
      <c r="HV1" s="119"/>
      <c r="HW1" s="119"/>
      <c r="HX1" s="119"/>
      <c r="HY1" s="119"/>
      <c r="HZ1" s="119"/>
      <c r="IA1" s="119"/>
      <c r="IB1" s="119"/>
      <c r="IC1" s="119"/>
      <c r="ID1" s="119"/>
      <c r="IE1" s="119"/>
      <c r="IF1" s="119"/>
      <c r="IG1" s="119"/>
      <c r="IH1" s="119"/>
      <c r="II1" s="119"/>
      <c r="IJ1" s="119"/>
      <c r="IK1" s="119"/>
      <c r="IL1" s="119"/>
      <c r="IM1" s="119"/>
      <c r="IN1" s="119"/>
      <c r="IO1" s="119"/>
      <c r="IP1" s="119"/>
      <c r="IQ1" s="119"/>
    </row>
    <row r="2" spans="1:251" ht="21.5" thickBot="1">
      <c r="A2" s="117"/>
      <c r="B2" s="117"/>
      <c r="C2" s="117"/>
      <c r="D2" s="117"/>
      <c r="E2" s="117"/>
      <c r="F2" s="117"/>
      <c r="G2" s="117"/>
      <c r="H2" s="117"/>
      <c r="I2" s="117"/>
      <c r="J2" s="117"/>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19"/>
      <c r="AK2" s="119"/>
      <c r="AL2" s="119"/>
      <c r="AM2" s="119"/>
      <c r="AN2" s="119"/>
      <c r="AO2" s="119"/>
      <c r="AP2" s="119"/>
      <c r="AQ2" s="119"/>
      <c r="AR2" s="119"/>
      <c r="AS2" s="119"/>
      <c r="AT2" s="119"/>
      <c r="AU2" s="119"/>
      <c r="AV2" s="119"/>
      <c r="AW2" s="119"/>
      <c r="AX2" s="119"/>
      <c r="AY2" s="119"/>
      <c r="AZ2" s="119"/>
      <c r="BA2" s="119"/>
      <c r="BB2" s="119"/>
      <c r="BC2" s="119"/>
      <c r="BD2" s="119"/>
      <c r="BE2" s="119"/>
      <c r="BF2" s="119"/>
      <c r="BG2" s="119"/>
      <c r="BH2" s="119"/>
      <c r="BI2" s="119"/>
      <c r="BJ2" s="119"/>
      <c r="BK2" s="119"/>
      <c r="BL2" s="119"/>
      <c r="BM2" s="119"/>
      <c r="BN2" s="119"/>
      <c r="BO2" s="119"/>
      <c r="BP2" s="119"/>
      <c r="BQ2" s="119"/>
      <c r="BR2" s="119"/>
      <c r="BS2" s="119"/>
      <c r="BT2" s="119"/>
      <c r="BU2" s="119"/>
      <c r="BV2" s="119"/>
      <c r="BW2" s="119"/>
      <c r="BX2" s="119"/>
      <c r="BY2" s="119"/>
      <c r="BZ2" s="119"/>
      <c r="CA2" s="119"/>
      <c r="CB2" s="119"/>
      <c r="CC2" s="119"/>
      <c r="CD2" s="119"/>
      <c r="CE2" s="119"/>
      <c r="CF2" s="119"/>
      <c r="CG2" s="119"/>
      <c r="CH2" s="119"/>
      <c r="CI2" s="119"/>
      <c r="CJ2" s="119"/>
      <c r="CK2" s="119"/>
      <c r="CL2" s="119"/>
      <c r="CM2" s="119"/>
      <c r="CN2" s="119"/>
      <c r="CO2" s="119"/>
      <c r="CP2" s="119"/>
      <c r="CQ2" s="119"/>
      <c r="CR2" s="119"/>
      <c r="CS2" s="119"/>
      <c r="CT2" s="119"/>
      <c r="CU2" s="119"/>
      <c r="CV2" s="119"/>
      <c r="CW2" s="119"/>
      <c r="CX2" s="119"/>
      <c r="CY2" s="119"/>
      <c r="CZ2" s="119"/>
      <c r="DA2" s="119"/>
      <c r="DB2" s="119"/>
      <c r="DC2" s="119"/>
      <c r="DD2" s="119"/>
      <c r="DE2" s="119"/>
      <c r="DF2" s="119"/>
      <c r="DG2" s="119"/>
      <c r="DH2" s="119"/>
      <c r="DI2" s="119"/>
      <c r="DJ2" s="119"/>
      <c r="DK2" s="119"/>
      <c r="DL2" s="119"/>
      <c r="DM2" s="119"/>
      <c r="DN2" s="119"/>
      <c r="DO2" s="119"/>
      <c r="DP2" s="119"/>
      <c r="DQ2" s="119"/>
      <c r="DR2" s="119"/>
      <c r="DS2" s="119"/>
      <c r="DT2" s="119"/>
      <c r="DU2" s="119"/>
      <c r="DV2" s="119"/>
      <c r="DW2" s="119"/>
      <c r="DX2" s="119"/>
      <c r="DY2" s="119"/>
      <c r="DZ2" s="119"/>
      <c r="EA2" s="119"/>
      <c r="EB2" s="119"/>
      <c r="EC2" s="119"/>
      <c r="ED2" s="119"/>
      <c r="EE2" s="119"/>
      <c r="EF2" s="119"/>
      <c r="EG2" s="119"/>
      <c r="EH2" s="119"/>
      <c r="EI2" s="119"/>
      <c r="EJ2" s="119"/>
      <c r="EK2" s="119"/>
      <c r="EL2" s="119"/>
      <c r="EM2" s="119"/>
      <c r="EN2" s="119"/>
      <c r="EO2" s="119"/>
      <c r="EP2" s="119"/>
      <c r="EQ2" s="119"/>
      <c r="ER2" s="119"/>
      <c r="ES2" s="119"/>
      <c r="ET2" s="119"/>
      <c r="EU2" s="119"/>
      <c r="EV2" s="119"/>
      <c r="EW2" s="119"/>
      <c r="EX2" s="119"/>
      <c r="EY2" s="119"/>
      <c r="EZ2" s="119"/>
      <c r="FA2" s="119"/>
      <c r="FB2" s="119"/>
      <c r="FC2" s="119"/>
      <c r="FD2" s="119"/>
      <c r="FE2" s="119"/>
      <c r="FF2" s="119"/>
      <c r="FG2" s="119"/>
      <c r="FH2" s="119"/>
      <c r="FI2" s="119"/>
      <c r="FJ2" s="119"/>
      <c r="FK2" s="119"/>
      <c r="FL2" s="119"/>
      <c r="FM2" s="119"/>
      <c r="FN2" s="119"/>
      <c r="FO2" s="119"/>
      <c r="FP2" s="119"/>
      <c r="FQ2" s="119"/>
      <c r="FR2" s="119"/>
      <c r="FS2" s="119"/>
      <c r="FT2" s="119"/>
      <c r="FU2" s="119"/>
      <c r="FV2" s="119"/>
      <c r="FW2" s="119"/>
      <c r="FX2" s="119"/>
      <c r="FY2" s="119"/>
      <c r="FZ2" s="119"/>
      <c r="GA2" s="119"/>
      <c r="GB2" s="119"/>
      <c r="GC2" s="119"/>
      <c r="GD2" s="119"/>
      <c r="GE2" s="119"/>
      <c r="GF2" s="119"/>
      <c r="GG2" s="119"/>
      <c r="GH2" s="119"/>
      <c r="GI2" s="119"/>
      <c r="GJ2" s="119"/>
      <c r="GK2" s="119"/>
      <c r="GL2" s="119"/>
      <c r="GM2" s="119"/>
      <c r="GN2" s="119"/>
      <c r="GO2" s="119"/>
      <c r="GP2" s="119"/>
      <c r="GQ2" s="119"/>
      <c r="GR2" s="119"/>
      <c r="GS2" s="119"/>
      <c r="GT2" s="119"/>
      <c r="GU2" s="119"/>
      <c r="GV2" s="119"/>
      <c r="GW2" s="119"/>
      <c r="GX2" s="119"/>
      <c r="GY2" s="119"/>
      <c r="GZ2" s="119"/>
      <c r="HA2" s="119"/>
      <c r="HB2" s="119"/>
      <c r="HC2" s="119"/>
      <c r="HD2" s="119"/>
      <c r="HE2" s="119"/>
      <c r="HF2" s="119"/>
      <c r="HG2" s="119"/>
      <c r="HH2" s="119"/>
      <c r="HI2" s="119"/>
      <c r="HJ2" s="119"/>
      <c r="HK2" s="119"/>
      <c r="HL2" s="119"/>
      <c r="HM2" s="119"/>
      <c r="HN2" s="119"/>
      <c r="HO2" s="119"/>
      <c r="HP2" s="119"/>
      <c r="HQ2" s="119"/>
      <c r="HR2" s="119"/>
      <c r="HS2" s="119"/>
      <c r="HT2" s="119"/>
      <c r="HU2" s="119"/>
      <c r="HV2" s="119"/>
      <c r="HW2" s="119"/>
      <c r="HX2" s="119"/>
      <c r="HY2" s="119"/>
      <c r="HZ2" s="119"/>
      <c r="IA2" s="119"/>
      <c r="IB2" s="119"/>
      <c r="IC2" s="119"/>
      <c r="ID2" s="119"/>
      <c r="IE2" s="119"/>
      <c r="IF2" s="119"/>
      <c r="IG2" s="119"/>
      <c r="IH2" s="119"/>
      <c r="II2" s="119"/>
      <c r="IJ2" s="119"/>
      <c r="IK2" s="119"/>
      <c r="IL2" s="119"/>
      <c r="IM2" s="119"/>
      <c r="IN2" s="119"/>
      <c r="IO2" s="119"/>
      <c r="IP2" s="119"/>
      <c r="IQ2" s="119"/>
    </row>
    <row r="3" spans="1:251" ht="22.5" customHeight="1" thickBot="1">
      <c r="A3" s="526" t="s">
        <v>61</v>
      </c>
      <c r="B3" s="527"/>
      <c r="C3" s="528">
        <f>基本情報!B3</f>
        <v>0</v>
      </c>
      <c r="D3" s="531"/>
      <c r="E3" s="130" t="s">
        <v>43</v>
      </c>
      <c r="F3" s="527" t="s">
        <v>80</v>
      </c>
      <c r="G3" s="527"/>
      <c r="H3" s="528">
        <f>基本情報!B7</f>
        <v>0</v>
      </c>
      <c r="I3" s="529"/>
      <c r="J3" s="120" t="s">
        <v>63</v>
      </c>
    </row>
    <row r="4" spans="1:251">
      <c r="A4" s="535" t="s">
        <v>64</v>
      </c>
      <c r="B4" s="536"/>
      <c r="C4" s="539" t="s">
        <v>1358</v>
      </c>
      <c r="D4" s="540"/>
      <c r="E4" s="541"/>
      <c r="F4" s="546" t="s">
        <v>82</v>
      </c>
      <c r="G4" s="546"/>
      <c r="H4" s="532" t="s">
        <v>83</v>
      </c>
      <c r="I4" s="533"/>
    </row>
    <row r="5" spans="1:251" ht="13.5" thickBot="1">
      <c r="A5" s="537"/>
      <c r="B5" s="538"/>
      <c r="C5" s="542"/>
      <c r="D5" s="543"/>
      <c r="E5" s="544"/>
      <c r="F5" s="547"/>
      <c r="G5" s="547"/>
      <c r="H5" s="534"/>
      <c r="I5" s="534"/>
    </row>
    <row r="6" spans="1:251">
      <c r="A6" s="535" t="s">
        <v>84</v>
      </c>
      <c r="B6" s="536"/>
      <c r="C6" s="539" t="s">
        <v>90</v>
      </c>
      <c r="D6" s="540"/>
      <c r="E6" s="540"/>
      <c r="F6" s="540"/>
      <c r="G6" s="540"/>
      <c r="H6" s="540"/>
      <c r="I6" s="541"/>
    </row>
    <row r="7" spans="1:251" ht="13.5" thickBot="1">
      <c r="A7" s="537"/>
      <c r="B7" s="538"/>
      <c r="C7" s="542"/>
      <c r="D7" s="543"/>
      <c r="E7" s="543"/>
      <c r="F7" s="543"/>
      <c r="G7" s="543"/>
      <c r="H7" s="543"/>
      <c r="I7" s="544"/>
    </row>
    <row r="8" spans="1:251" ht="13.5" thickBot="1">
      <c r="A8" s="526" t="s">
        <v>86</v>
      </c>
      <c r="B8" s="530"/>
      <c r="C8" s="526" t="s">
        <v>87</v>
      </c>
      <c r="D8" s="527"/>
      <c r="E8" s="527"/>
      <c r="F8" s="527"/>
      <c r="G8" s="527"/>
      <c r="H8" s="527"/>
      <c r="I8" s="530"/>
    </row>
    <row r="9" spans="1:251">
      <c r="A9" s="126"/>
      <c r="B9" s="127"/>
      <c r="C9" s="126"/>
      <c r="I9" s="127"/>
    </row>
    <row r="10" spans="1:251">
      <c r="A10" s="126"/>
      <c r="B10" s="127"/>
      <c r="C10" s="126"/>
      <c r="I10" s="127"/>
    </row>
    <row r="11" spans="1:251">
      <c r="A11" s="126"/>
      <c r="B11" s="127"/>
      <c r="C11" s="126"/>
      <c r="I11" s="127"/>
    </row>
    <row r="12" spans="1:251">
      <c r="A12" s="126"/>
      <c r="B12" s="127"/>
      <c r="C12" s="126"/>
      <c r="I12" s="127"/>
    </row>
    <row r="13" spans="1:251">
      <c r="A13" s="126"/>
      <c r="B13" s="127"/>
      <c r="C13" s="126"/>
      <c r="I13" s="127"/>
    </row>
    <row r="14" spans="1:251">
      <c r="A14" s="339"/>
      <c r="B14" s="127"/>
      <c r="C14" s="126"/>
      <c r="I14" s="127"/>
    </row>
    <row r="15" spans="1:251">
      <c r="A15" s="126"/>
      <c r="B15" s="127"/>
      <c r="C15" s="126"/>
      <c r="I15" s="127"/>
    </row>
    <row r="16" spans="1:251">
      <c r="A16" s="126"/>
      <c r="B16" s="127"/>
      <c r="C16" s="126"/>
      <c r="I16" s="127"/>
    </row>
    <row r="17" spans="1:9">
      <c r="A17" s="126"/>
      <c r="B17" s="127"/>
      <c r="C17" s="126"/>
      <c r="I17" s="127"/>
    </row>
    <row r="18" spans="1:9">
      <c r="A18" s="126"/>
      <c r="B18" s="127"/>
      <c r="C18" s="126"/>
      <c r="I18" s="127"/>
    </row>
    <row r="19" spans="1:9">
      <c r="A19" s="126"/>
      <c r="B19" s="127"/>
      <c r="C19" s="126"/>
      <c r="I19" s="127"/>
    </row>
    <row r="20" spans="1:9">
      <c r="A20" s="126"/>
      <c r="B20" s="127"/>
      <c r="C20" s="126"/>
      <c r="I20" s="127"/>
    </row>
    <row r="21" spans="1:9">
      <c r="A21" s="126"/>
      <c r="B21" s="127"/>
      <c r="C21" s="126"/>
      <c r="I21" s="127"/>
    </row>
    <row r="22" spans="1:9">
      <c r="A22" s="126"/>
      <c r="B22" s="127"/>
      <c r="C22" s="126"/>
      <c r="I22" s="127"/>
    </row>
    <row r="23" spans="1:9">
      <c r="A23" s="126"/>
      <c r="B23" s="127"/>
      <c r="C23" s="126"/>
      <c r="I23" s="127"/>
    </row>
    <row r="24" spans="1:9">
      <c r="A24" s="126"/>
      <c r="B24" s="127"/>
      <c r="C24" s="126"/>
      <c r="I24" s="127"/>
    </row>
    <row r="25" spans="1:9">
      <c r="A25" s="126"/>
      <c r="B25" s="127"/>
      <c r="C25" s="126"/>
      <c r="I25" s="127"/>
    </row>
    <row r="26" spans="1:9">
      <c r="A26" s="126"/>
      <c r="B26" s="127"/>
      <c r="C26" s="126"/>
      <c r="I26" s="127"/>
    </row>
    <row r="27" spans="1:9">
      <c r="A27" s="126"/>
      <c r="B27" s="127"/>
      <c r="C27" s="126"/>
      <c r="I27" s="127"/>
    </row>
    <row r="28" spans="1:9">
      <c r="A28" s="126"/>
      <c r="B28" s="127"/>
      <c r="C28" s="126"/>
      <c r="I28" s="127"/>
    </row>
    <row r="29" spans="1:9" ht="13.5" thickBot="1">
      <c r="A29" s="128"/>
      <c r="B29" s="124"/>
      <c r="C29" s="128"/>
      <c r="D29" s="123"/>
      <c r="E29" s="123"/>
      <c r="F29" s="123"/>
      <c r="G29" s="123"/>
      <c r="H29" s="123"/>
      <c r="I29" s="124"/>
    </row>
    <row r="30" spans="1:9" ht="13.5" thickBot="1"/>
    <row r="31" spans="1:9" ht="13.5" thickBot="1">
      <c r="A31" s="526" t="s">
        <v>65</v>
      </c>
      <c r="B31" s="530"/>
      <c r="C31" s="526" t="s">
        <v>89</v>
      </c>
      <c r="D31" s="527"/>
      <c r="E31" s="527"/>
      <c r="F31" s="527"/>
      <c r="G31" s="527"/>
      <c r="H31" s="527"/>
      <c r="I31" s="530"/>
    </row>
    <row r="32" spans="1:9">
      <c r="A32" s="125"/>
      <c r="B32" s="122"/>
      <c r="C32" s="125"/>
      <c r="D32" s="121"/>
      <c r="E32" s="121"/>
      <c r="F32" s="121"/>
      <c r="G32" s="121"/>
      <c r="H32" s="121"/>
      <c r="I32" s="122"/>
    </row>
    <row r="33" spans="1:9">
      <c r="A33" s="126"/>
      <c r="B33" s="127"/>
      <c r="C33" s="126"/>
      <c r="I33" s="127"/>
    </row>
    <row r="34" spans="1:9">
      <c r="A34" s="126"/>
      <c r="B34" s="127"/>
      <c r="C34" s="126"/>
      <c r="D34" s="338"/>
      <c r="I34" s="127"/>
    </row>
    <row r="35" spans="1:9">
      <c r="A35" s="126"/>
      <c r="B35" s="127"/>
      <c r="C35" s="126"/>
      <c r="D35" s="338"/>
      <c r="I35" s="127"/>
    </row>
    <row r="36" spans="1:9">
      <c r="A36" s="126"/>
      <c r="B36" s="127"/>
      <c r="C36" s="126"/>
      <c r="D36" s="338"/>
      <c r="I36" s="127"/>
    </row>
    <row r="37" spans="1:9">
      <c r="A37" s="126"/>
      <c r="B37" s="127"/>
      <c r="C37" s="126"/>
      <c r="I37" s="127"/>
    </row>
    <row r="38" spans="1:9">
      <c r="A38" s="126"/>
      <c r="B38" s="127"/>
      <c r="C38" s="126"/>
      <c r="I38" s="127"/>
    </row>
    <row r="39" spans="1:9">
      <c r="A39" s="126"/>
      <c r="B39" s="127"/>
      <c r="C39" s="126"/>
      <c r="I39" s="127"/>
    </row>
    <row r="40" spans="1:9">
      <c r="A40" s="126"/>
      <c r="B40" s="127"/>
      <c r="C40" s="126"/>
      <c r="I40" s="127"/>
    </row>
    <row r="41" spans="1:9">
      <c r="A41" s="126"/>
      <c r="B41" s="127"/>
      <c r="C41" s="126"/>
      <c r="I41" s="127"/>
    </row>
    <row r="42" spans="1:9">
      <c r="A42" s="126"/>
      <c r="B42" s="127"/>
      <c r="C42" s="126"/>
      <c r="I42" s="127"/>
    </row>
    <row r="43" spans="1:9">
      <c r="A43" s="126"/>
      <c r="B43" s="127"/>
      <c r="C43" s="126"/>
      <c r="I43" s="127"/>
    </row>
    <row r="44" spans="1:9">
      <c r="A44" s="126"/>
      <c r="B44" s="127"/>
      <c r="C44" s="126"/>
      <c r="I44" s="127"/>
    </row>
    <row r="45" spans="1:9">
      <c r="A45" s="126"/>
      <c r="B45" s="127"/>
      <c r="C45" s="126"/>
      <c r="I45" s="127"/>
    </row>
    <row r="46" spans="1:9">
      <c r="A46" s="126"/>
      <c r="B46" s="127"/>
      <c r="C46" s="126"/>
      <c r="I46" s="127"/>
    </row>
    <row r="47" spans="1:9">
      <c r="A47" s="126"/>
      <c r="B47" s="127"/>
      <c r="C47" s="126"/>
      <c r="I47" s="127"/>
    </row>
    <row r="48" spans="1:9">
      <c r="A48" s="126"/>
      <c r="B48" s="127"/>
      <c r="C48" s="126"/>
      <c r="I48" s="127"/>
    </row>
    <row r="49" spans="1:9">
      <c r="A49" s="126"/>
      <c r="B49" s="127"/>
      <c r="C49" s="126"/>
      <c r="I49" s="127"/>
    </row>
    <row r="50" spans="1:9">
      <c r="A50" s="126"/>
      <c r="B50" s="127"/>
      <c r="C50" s="126"/>
      <c r="I50" s="127"/>
    </row>
    <row r="51" spans="1:9">
      <c r="A51" s="126"/>
      <c r="B51" s="127"/>
      <c r="C51" s="126"/>
      <c r="I51" s="127"/>
    </row>
    <row r="52" spans="1:9">
      <c r="A52" s="126"/>
      <c r="B52" s="127"/>
      <c r="C52" s="126"/>
      <c r="I52" s="127"/>
    </row>
    <row r="53" spans="1:9" ht="13.5" thickBot="1">
      <c r="A53" s="128"/>
      <c r="B53" s="124"/>
      <c r="C53" s="128"/>
      <c r="D53" s="123"/>
      <c r="E53" s="123"/>
      <c r="F53" s="123"/>
      <c r="G53" s="123"/>
      <c r="H53" s="123"/>
      <c r="I53" s="124"/>
    </row>
    <row r="54" spans="1:9">
      <c r="B54" s="129" t="s">
        <v>66</v>
      </c>
    </row>
    <row r="55" spans="1:9" ht="21">
      <c r="A55" s="545" t="s">
        <v>60</v>
      </c>
      <c r="B55" s="545"/>
      <c r="C55" s="545"/>
      <c r="D55" s="545"/>
      <c r="E55" s="545"/>
      <c r="F55" s="545"/>
      <c r="G55" s="545"/>
      <c r="H55" s="545"/>
      <c r="I55" s="545"/>
    </row>
    <row r="56" spans="1:9" ht="21.5" thickBot="1">
      <c r="A56" s="117"/>
      <c r="B56" s="117"/>
      <c r="C56" s="117"/>
      <c r="D56" s="117"/>
      <c r="E56" s="117"/>
      <c r="F56" s="117"/>
      <c r="G56" s="117"/>
      <c r="H56" s="117"/>
      <c r="I56" s="117"/>
    </row>
    <row r="57" spans="1:9" ht="21.75" customHeight="1" thickBot="1">
      <c r="A57" s="526" t="s">
        <v>61</v>
      </c>
      <c r="B57" s="527"/>
      <c r="C57" s="528">
        <f>基本情報!B3</f>
        <v>0</v>
      </c>
      <c r="D57" s="531"/>
      <c r="E57" s="130" t="s">
        <v>43</v>
      </c>
      <c r="F57" s="527" t="s">
        <v>80</v>
      </c>
      <c r="G57" s="527"/>
      <c r="H57" s="528">
        <f>基本情報!B7</f>
        <v>0</v>
      </c>
      <c r="I57" s="529"/>
    </row>
    <row r="58" spans="1:9">
      <c r="A58" s="535" t="s">
        <v>64</v>
      </c>
      <c r="B58" s="536"/>
      <c r="C58" s="539" t="s">
        <v>81</v>
      </c>
      <c r="D58" s="540"/>
      <c r="E58" s="541"/>
      <c r="F58" s="546" t="s">
        <v>82</v>
      </c>
      <c r="G58" s="546"/>
      <c r="H58" s="532" t="s">
        <v>91</v>
      </c>
      <c r="I58" s="533"/>
    </row>
    <row r="59" spans="1:9" ht="13.5" thickBot="1">
      <c r="A59" s="537"/>
      <c r="B59" s="538"/>
      <c r="C59" s="542"/>
      <c r="D59" s="543"/>
      <c r="E59" s="544"/>
      <c r="F59" s="547"/>
      <c r="G59" s="547"/>
      <c r="H59" s="534"/>
      <c r="I59" s="534"/>
    </row>
    <row r="60" spans="1:9">
      <c r="A60" s="535" t="s">
        <v>84</v>
      </c>
      <c r="B60" s="536"/>
      <c r="C60" s="539" t="s">
        <v>90</v>
      </c>
      <c r="D60" s="540"/>
      <c r="E60" s="540"/>
      <c r="F60" s="540"/>
      <c r="G60" s="540"/>
      <c r="H60" s="540"/>
      <c r="I60" s="541"/>
    </row>
    <row r="61" spans="1:9" ht="13.5" thickBot="1">
      <c r="A61" s="537"/>
      <c r="B61" s="538"/>
      <c r="C61" s="542"/>
      <c r="D61" s="543"/>
      <c r="E61" s="543"/>
      <c r="F61" s="543"/>
      <c r="G61" s="543"/>
      <c r="H61" s="543"/>
      <c r="I61" s="544"/>
    </row>
    <row r="62" spans="1:9" ht="13.5" thickBot="1">
      <c r="A62" s="526" t="s">
        <v>65</v>
      </c>
      <c r="B62" s="530"/>
      <c r="C62" s="526" t="s">
        <v>87</v>
      </c>
      <c r="D62" s="527"/>
      <c r="E62" s="527"/>
      <c r="F62" s="527"/>
      <c r="G62" s="527"/>
      <c r="H62" s="527"/>
      <c r="I62" s="530"/>
    </row>
    <row r="63" spans="1:9">
      <c r="A63" s="126"/>
      <c r="B63" s="127"/>
      <c r="C63" s="126"/>
      <c r="I63" s="127"/>
    </row>
    <row r="64" spans="1:9">
      <c r="A64" s="126"/>
      <c r="B64" s="127"/>
      <c r="C64" s="126"/>
      <c r="I64" s="127"/>
    </row>
    <row r="65" spans="1:9">
      <c r="A65" s="126"/>
      <c r="B65" s="127"/>
      <c r="C65" s="126"/>
      <c r="I65" s="127"/>
    </row>
    <row r="66" spans="1:9">
      <c r="A66" s="126"/>
      <c r="B66" s="127"/>
      <c r="C66" s="126"/>
      <c r="I66" s="127"/>
    </row>
    <row r="67" spans="1:9">
      <c r="A67" s="126"/>
      <c r="B67" s="127"/>
      <c r="C67" s="126"/>
      <c r="I67" s="127"/>
    </row>
    <row r="68" spans="1:9">
      <c r="A68" s="126"/>
      <c r="B68" s="127"/>
      <c r="C68" s="126"/>
      <c r="I68" s="127"/>
    </row>
    <row r="69" spans="1:9">
      <c r="A69" s="126"/>
      <c r="B69" s="127"/>
      <c r="C69" s="126"/>
      <c r="I69" s="127"/>
    </row>
    <row r="70" spans="1:9">
      <c r="A70" s="126"/>
      <c r="B70" s="127"/>
      <c r="C70" s="126"/>
      <c r="I70" s="127"/>
    </row>
    <row r="71" spans="1:9">
      <c r="A71" s="126"/>
      <c r="B71" s="127"/>
      <c r="C71" s="126"/>
      <c r="I71" s="127"/>
    </row>
    <row r="72" spans="1:9">
      <c r="A72" s="126"/>
      <c r="B72" s="127"/>
      <c r="C72" s="126"/>
      <c r="I72" s="127"/>
    </row>
    <row r="73" spans="1:9">
      <c r="A73" s="126"/>
      <c r="B73" s="127"/>
      <c r="C73" s="126"/>
      <c r="I73" s="127"/>
    </row>
    <row r="74" spans="1:9">
      <c r="A74" s="126"/>
      <c r="B74" s="127"/>
      <c r="C74" s="126"/>
      <c r="I74" s="127"/>
    </row>
    <row r="75" spans="1:9">
      <c r="A75" s="126"/>
      <c r="B75" s="127"/>
      <c r="C75" s="126"/>
      <c r="I75" s="127"/>
    </row>
    <row r="76" spans="1:9">
      <c r="A76" s="126"/>
      <c r="B76" s="127"/>
      <c r="C76" s="126"/>
      <c r="I76" s="127"/>
    </row>
    <row r="77" spans="1:9">
      <c r="A77" s="126"/>
      <c r="B77" s="127"/>
      <c r="C77" s="126"/>
      <c r="I77" s="127"/>
    </row>
    <row r="78" spans="1:9">
      <c r="A78" s="126"/>
      <c r="B78" s="127"/>
      <c r="C78" s="126"/>
      <c r="I78" s="127"/>
    </row>
    <row r="79" spans="1:9">
      <c r="A79" s="126"/>
      <c r="B79" s="127"/>
      <c r="C79" s="126"/>
      <c r="I79" s="127"/>
    </row>
    <row r="80" spans="1:9">
      <c r="A80" s="126"/>
      <c r="B80" s="127"/>
      <c r="C80" s="126"/>
      <c r="I80" s="127"/>
    </row>
    <row r="81" spans="1:9">
      <c r="A81" s="126"/>
      <c r="B81" s="127"/>
      <c r="C81" s="126"/>
      <c r="I81" s="127"/>
    </row>
    <row r="82" spans="1:9">
      <c r="A82" s="126"/>
      <c r="B82" s="127"/>
      <c r="C82" s="126"/>
      <c r="I82" s="127"/>
    </row>
    <row r="83" spans="1:9" ht="13.5" thickBot="1">
      <c r="A83" s="128"/>
      <c r="B83" s="124"/>
      <c r="C83" s="128"/>
      <c r="D83" s="123"/>
      <c r="E83" s="123"/>
      <c r="F83" s="123"/>
      <c r="G83" s="123"/>
      <c r="H83" s="123"/>
      <c r="I83" s="124"/>
    </row>
    <row r="84" spans="1:9" ht="13.5" thickBot="1"/>
    <row r="85" spans="1:9" ht="13.5" thickBot="1">
      <c r="A85" s="526" t="s">
        <v>65</v>
      </c>
      <c r="B85" s="530"/>
      <c r="C85" s="526" t="s">
        <v>89</v>
      </c>
      <c r="D85" s="527"/>
      <c r="E85" s="527"/>
      <c r="F85" s="527"/>
      <c r="G85" s="527"/>
      <c r="H85" s="527"/>
      <c r="I85" s="530"/>
    </row>
    <row r="86" spans="1:9">
      <c r="A86" s="125"/>
      <c r="B86" s="122"/>
      <c r="C86" s="125"/>
      <c r="D86" s="121"/>
      <c r="E86" s="121"/>
      <c r="F86" s="121"/>
      <c r="G86" s="121"/>
      <c r="H86" s="121"/>
      <c r="I86" s="122"/>
    </row>
    <row r="87" spans="1:9">
      <c r="A87" s="126"/>
      <c r="B87" s="127"/>
      <c r="C87" s="126"/>
      <c r="I87" s="127"/>
    </row>
    <row r="88" spans="1:9">
      <c r="A88" s="126"/>
      <c r="B88" s="127"/>
      <c r="C88" s="126"/>
      <c r="I88" s="127"/>
    </row>
    <row r="89" spans="1:9">
      <c r="A89" s="126"/>
      <c r="B89" s="127"/>
      <c r="C89" s="126"/>
      <c r="I89" s="127"/>
    </row>
    <row r="90" spans="1:9">
      <c r="A90" s="126"/>
      <c r="B90" s="127"/>
      <c r="C90" s="126"/>
      <c r="I90" s="127"/>
    </row>
    <row r="91" spans="1:9">
      <c r="A91" s="126"/>
      <c r="B91" s="127"/>
      <c r="C91" s="126"/>
      <c r="I91" s="127"/>
    </row>
    <row r="92" spans="1:9">
      <c r="A92" s="126"/>
      <c r="B92" s="127"/>
      <c r="C92" s="126"/>
      <c r="I92" s="127"/>
    </row>
    <row r="93" spans="1:9">
      <c r="A93" s="126"/>
      <c r="B93" s="127"/>
      <c r="C93" s="126"/>
      <c r="I93" s="127"/>
    </row>
    <row r="94" spans="1:9">
      <c r="A94" s="126"/>
      <c r="B94" s="127"/>
      <c r="C94" s="126"/>
      <c r="I94" s="127"/>
    </row>
    <row r="95" spans="1:9">
      <c r="A95" s="126"/>
      <c r="B95" s="127"/>
      <c r="C95" s="126"/>
      <c r="I95" s="127"/>
    </row>
    <row r="96" spans="1:9">
      <c r="A96" s="126"/>
      <c r="B96" s="127"/>
      <c r="C96" s="126"/>
      <c r="I96" s="127"/>
    </row>
    <row r="97" spans="1:9">
      <c r="A97" s="126"/>
      <c r="B97" s="127"/>
      <c r="C97" s="126"/>
      <c r="I97" s="127"/>
    </row>
    <row r="98" spans="1:9">
      <c r="A98" s="126"/>
      <c r="B98" s="127"/>
      <c r="C98" s="126"/>
      <c r="I98" s="127"/>
    </row>
    <row r="99" spans="1:9">
      <c r="A99" s="126"/>
      <c r="B99" s="127"/>
      <c r="C99" s="126"/>
      <c r="I99" s="127"/>
    </row>
    <row r="100" spans="1:9">
      <c r="A100" s="126"/>
      <c r="B100" s="127"/>
      <c r="C100" s="126"/>
      <c r="I100" s="127"/>
    </row>
    <row r="101" spans="1:9">
      <c r="A101" s="126"/>
      <c r="B101" s="127"/>
      <c r="C101" s="126"/>
      <c r="I101" s="127"/>
    </row>
    <row r="102" spans="1:9">
      <c r="A102" s="126"/>
      <c r="B102" s="127"/>
      <c r="C102" s="126"/>
      <c r="I102" s="127"/>
    </row>
    <row r="103" spans="1:9">
      <c r="A103" s="126"/>
      <c r="B103" s="127"/>
      <c r="C103" s="126"/>
      <c r="I103" s="127"/>
    </row>
    <row r="104" spans="1:9">
      <c r="A104" s="126"/>
      <c r="B104" s="127"/>
      <c r="C104" s="126"/>
      <c r="I104" s="127"/>
    </row>
    <row r="105" spans="1:9">
      <c r="A105" s="126"/>
      <c r="B105" s="127"/>
      <c r="C105" s="126"/>
      <c r="I105" s="127"/>
    </row>
    <row r="106" spans="1:9">
      <c r="A106" s="126"/>
      <c r="B106" s="127"/>
      <c r="C106" s="126"/>
      <c r="I106" s="127"/>
    </row>
    <row r="107" spans="1:9" ht="13.5" thickBot="1">
      <c r="A107" s="128"/>
      <c r="B107" s="124"/>
      <c r="C107" s="128"/>
      <c r="D107" s="123"/>
      <c r="E107" s="123"/>
      <c r="F107" s="123"/>
      <c r="G107" s="123"/>
      <c r="H107" s="123"/>
      <c r="I107" s="124"/>
    </row>
    <row r="108" spans="1:9">
      <c r="B108" s="129" t="s">
        <v>66</v>
      </c>
    </row>
    <row r="109" spans="1:9" ht="21">
      <c r="A109" s="545" t="s">
        <v>60</v>
      </c>
      <c r="B109" s="545"/>
      <c r="C109" s="545"/>
      <c r="D109" s="545"/>
      <c r="E109" s="545"/>
      <c r="F109" s="545"/>
      <c r="G109" s="545"/>
      <c r="H109" s="545"/>
      <c r="I109" s="545"/>
    </row>
    <row r="110" spans="1:9" ht="21.5" thickBot="1">
      <c r="A110" s="117"/>
      <c r="B110" s="117"/>
      <c r="C110" s="117"/>
      <c r="D110" s="117"/>
      <c r="E110" s="117"/>
      <c r="F110" s="117"/>
      <c r="G110" s="117"/>
      <c r="H110" s="117"/>
      <c r="I110" s="117"/>
    </row>
    <row r="111" spans="1:9" ht="21.75" customHeight="1" thickBot="1">
      <c r="A111" s="526" t="s">
        <v>61</v>
      </c>
      <c r="B111" s="527"/>
      <c r="C111" s="528">
        <f>基本情報!B3</f>
        <v>0</v>
      </c>
      <c r="D111" s="531"/>
      <c r="E111" s="130" t="s">
        <v>43</v>
      </c>
      <c r="F111" s="527" t="s">
        <v>80</v>
      </c>
      <c r="G111" s="527"/>
      <c r="H111" s="528">
        <f>基本情報!B7</f>
        <v>0</v>
      </c>
      <c r="I111" s="529"/>
    </row>
    <row r="112" spans="1:9">
      <c r="A112" s="535" t="s">
        <v>64</v>
      </c>
      <c r="B112" s="536"/>
      <c r="C112" s="539" t="s">
        <v>81</v>
      </c>
      <c r="D112" s="540"/>
      <c r="E112" s="541"/>
      <c r="F112" s="546" t="s">
        <v>82</v>
      </c>
      <c r="G112" s="546"/>
      <c r="H112" s="532" t="s">
        <v>92</v>
      </c>
      <c r="I112" s="533"/>
    </row>
    <row r="113" spans="1:9" ht="13.5" thickBot="1">
      <c r="A113" s="537"/>
      <c r="B113" s="538"/>
      <c r="C113" s="542"/>
      <c r="D113" s="543"/>
      <c r="E113" s="544"/>
      <c r="F113" s="547"/>
      <c r="G113" s="547"/>
      <c r="H113" s="534"/>
      <c r="I113" s="534"/>
    </row>
    <row r="114" spans="1:9">
      <c r="A114" s="535" t="s">
        <v>84</v>
      </c>
      <c r="B114" s="536"/>
      <c r="C114" s="539" t="s">
        <v>142</v>
      </c>
      <c r="D114" s="540"/>
      <c r="E114" s="540"/>
      <c r="F114" s="540"/>
      <c r="G114" s="540"/>
      <c r="H114" s="540"/>
      <c r="I114" s="541"/>
    </row>
    <row r="115" spans="1:9" ht="13.5" thickBot="1">
      <c r="A115" s="537"/>
      <c r="B115" s="538"/>
      <c r="C115" s="542"/>
      <c r="D115" s="543"/>
      <c r="E115" s="543"/>
      <c r="F115" s="543"/>
      <c r="G115" s="543"/>
      <c r="H115" s="543"/>
      <c r="I115" s="544"/>
    </row>
    <row r="116" spans="1:9" ht="13.5" thickBot="1">
      <c r="A116" s="526" t="s">
        <v>86</v>
      </c>
      <c r="B116" s="530"/>
      <c r="C116" s="526" t="s">
        <v>87</v>
      </c>
      <c r="D116" s="527"/>
      <c r="E116" s="527"/>
      <c r="F116" s="527"/>
      <c r="G116" s="527"/>
      <c r="H116" s="527"/>
      <c r="I116" s="530"/>
    </row>
    <row r="117" spans="1:9">
      <c r="A117" s="126"/>
      <c r="B117" s="127"/>
      <c r="C117" s="126"/>
      <c r="I117" s="127"/>
    </row>
    <row r="118" spans="1:9">
      <c r="A118" s="126"/>
      <c r="B118" s="127"/>
      <c r="C118" s="126"/>
      <c r="I118" s="127"/>
    </row>
    <row r="119" spans="1:9">
      <c r="A119" s="126"/>
      <c r="B119" s="127"/>
      <c r="C119" s="126"/>
      <c r="I119" s="127"/>
    </row>
    <row r="120" spans="1:9">
      <c r="A120" s="126"/>
      <c r="B120" s="127"/>
      <c r="C120" s="126"/>
      <c r="I120" s="127"/>
    </row>
    <row r="121" spans="1:9">
      <c r="A121" s="126"/>
      <c r="B121" s="127"/>
      <c r="C121" s="126"/>
      <c r="I121" s="127"/>
    </row>
    <row r="122" spans="1:9">
      <c r="A122" s="126"/>
      <c r="B122" s="127"/>
      <c r="C122" s="126"/>
      <c r="I122" s="127"/>
    </row>
    <row r="123" spans="1:9">
      <c r="A123" s="126"/>
      <c r="B123" s="127"/>
      <c r="C123" s="126"/>
      <c r="I123" s="127"/>
    </row>
    <row r="124" spans="1:9">
      <c r="A124" s="126"/>
      <c r="B124" s="127"/>
      <c r="C124" s="126"/>
      <c r="I124" s="127"/>
    </row>
    <row r="125" spans="1:9">
      <c r="A125" s="126"/>
      <c r="B125" s="127"/>
      <c r="C125" s="126"/>
      <c r="I125" s="127"/>
    </row>
    <row r="126" spans="1:9">
      <c r="A126" s="126"/>
      <c r="B126" s="127"/>
      <c r="C126" s="126"/>
      <c r="I126" s="127"/>
    </row>
    <row r="127" spans="1:9">
      <c r="A127" s="126"/>
      <c r="B127" s="127"/>
      <c r="C127" s="126"/>
      <c r="I127" s="127"/>
    </row>
    <row r="128" spans="1:9">
      <c r="A128" s="126"/>
      <c r="B128" s="127"/>
      <c r="C128" s="126"/>
      <c r="I128" s="127"/>
    </row>
    <row r="129" spans="1:9">
      <c r="A129" s="126"/>
      <c r="B129" s="127"/>
      <c r="C129" s="126"/>
      <c r="I129" s="127"/>
    </row>
    <row r="130" spans="1:9">
      <c r="A130" s="126"/>
      <c r="B130" s="127"/>
      <c r="C130" s="126"/>
      <c r="I130" s="127"/>
    </row>
    <row r="131" spans="1:9">
      <c r="A131" s="126"/>
      <c r="B131" s="127"/>
      <c r="C131" s="126"/>
      <c r="I131" s="127"/>
    </row>
    <row r="132" spans="1:9">
      <c r="A132" s="126"/>
      <c r="B132" s="127"/>
      <c r="C132" s="126"/>
      <c r="I132" s="127"/>
    </row>
    <row r="133" spans="1:9">
      <c r="A133" s="126"/>
      <c r="B133" s="127"/>
      <c r="C133" s="126"/>
      <c r="I133" s="127"/>
    </row>
    <row r="134" spans="1:9">
      <c r="A134" s="126"/>
      <c r="B134" s="127"/>
      <c r="C134" s="126"/>
      <c r="I134" s="127"/>
    </row>
    <row r="135" spans="1:9">
      <c r="A135" s="126"/>
      <c r="B135" s="127"/>
      <c r="C135" s="126"/>
      <c r="I135" s="127"/>
    </row>
    <row r="136" spans="1:9">
      <c r="A136" s="126"/>
      <c r="B136" s="127"/>
      <c r="C136" s="126"/>
      <c r="I136" s="127"/>
    </row>
    <row r="137" spans="1:9" ht="13.5" thickBot="1">
      <c r="A137" s="128"/>
      <c r="B137" s="124"/>
      <c r="C137" s="128"/>
      <c r="D137" s="123"/>
      <c r="E137" s="123"/>
      <c r="F137" s="123"/>
      <c r="G137" s="123"/>
      <c r="H137" s="123"/>
      <c r="I137" s="124"/>
    </row>
    <row r="138" spans="1:9" ht="13.5" thickBot="1"/>
    <row r="139" spans="1:9" ht="13.5" thickBot="1">
      <c r="A139" s="526" t="s">
        <v>65</v>
      </c>
      <c r="B139" s="530"/>
      <c r="C139" s="526" t="s">
        <v>89</v>
      </c>
      <c r="D139" s="527"/>
      <c r="E139" s="527"/>
      <c r="F139" s="527"/>
      <c r="G139" s="527"/>
      <c r="H139" s="527"/>
      <c r="I139" s="530"/>
    </row>
    <row r="140" spans="1:9">
      <c r="A140" s="125"/>
      <c r="B140" s="122"/>
      <c r="C140" s="125"/>
      <c r="D140" s="121"/>
      <c r="E140" s="121"/>
      <c r="F140" s="121"/>
      <c r="G140" s="121"/>
      <c r="H140" s="121"/>
      <c r="I140" s="122"/>
    </row>
    <row r="141" spans="1:9">
      <c r="A141" s="126"/>
      <c r="B141" s="127"/>
      <c r="C141" s="126"/>
      <c r="I141" s="127"/>
    </row>
    <row r="142" spans="1:9">
      <c r="A142" s="126"/>
      <c r="B142" s="127"/>
      <c r="C142" s="126"/>
      <c r="I142" s="127"/>
    </row>
    <row r="143" spans="1:9">
      <c r="A143" s="126"/>
      <c r="B143" s="127"/>
      <c r="C143" s="126"/>
      <c r="I143" s="127"/>
    </row>
    <row r="144" spans="1:9">
      <c r="A144" s="126"/>
      <c r="B144" s="127"/>
      <c r="C144" s="126"/>
      <c r="I144" s="127"/>
    </row>
    <row r="145" spans="1:9">
      <c r="A145" s="126"/>
      <c r="B145" s="127"/>
      <c r="C145" s="126"/>
      <c r="I145" s="127"/>
    </row>
    <row r="146" spans="1:9">
      <c r="A146" s="126"/>
      <c r="B146" s="127"/>
      <c r="C146" s="126"/>
      <c r="I146" s="127"/>
    </row>
    <row r="147" spans="1:9">
      <c r="A147" s="126"/>
      <c r="B147" s="127"/>
      <c r="C147" s="126"/>
      <c r="I147" s="127"/>
    </row>
    <row r="148" spans="1:9">
      <c r="A148" s="126"/>
      <c r="B148" s="127"/>
      <c r="C148" s="126"/>
      <c r="I148" s="127"/>
    </row>
    <row r="149" spans="1:9">
      <c r="A149" s="126"/>
      <c r="B149" s="127"/>
      <c r="C149" s="126"/>
      <c r="I149" s="127"/>
    </row>
    <row r="150" spans="1:9">
      <c r="A150" s="126"/>
      <c r="B150" s="127"/>
      <c r="C150" s="126"/>
      <c r="I150" s="127"/>
    </row>
    <row r="151" spans="1:9">
      <c r="A151" s="126"/>
      <c r="B151" s="127"/>
      <c r="C151" s="126"/>
      <c r="I151" s="127"/>
    </row>
    <row r="152" spans="1:9">
      <c r="A152" s="126"/>
      <c r="B152" s="127"/>
      <c r="C152" s="126"/>
      <c r="I152" s="127"/>
    </row>
    <row r="153" spans="1:9">
      <c r="A153" s="126"/>
      <c r="B153" s="127"/>
      <c r="C153" s="126"/>
      <c r="I153" s="127"/>
    </row>
    <row r="154" spans="1:9">
      <c r="A154" s="126"/>
      <c r="B154" s="127"/>
      <c r="C154" s="126"/>
      <c r="I154" s="127"/>
    </row>
    <row r="155" spans="1:9">
      <c r="A155" s="126"/>
      <c r="B155" s="127"/>
      <c r="C155" s="126"/>
      <c r="I155" s="127"/>
    </row>
    <row r="156" spans="1:9">
      <c r="A156" s="126"/>
      <c r="B156" s="127"/>
      <c r="C156" s="126"/>
      <c r="I156" s="127"/>
    </row>
    <row r="157" spans="1:9">
      <c r="A157" s="126"/>
      <c r="B157" s="127"/>
      <c r="C157" s="126"/>
      <c r="I157" s="127"/>
    </row>
    <row r="158" spans="1:9">
      <c r="A158" s="126"/>
      <c r="B158" s="127"/>
      <c r="C158" s="126"/>
      <c r="I158" s="127"/>
    </row>
    <row r="159" spans="1:9">
      <c r="A159" s="126"/>
      <c r="B159" s="127"/>
      <c r="C159" s="126"/>
      <c r="I159" s="127"/>
    </row>
    <row r="160" spans="1:9">
      <c r="A160" s="126"/>
      <c r="B160" s="127"/>
      <c r="C160" s="126"/>
      <c r="I160" s="127"/>
    </row>
    <row r="161" spans="1:9" ht="13.5" thickBot="1">
      <c r="A161" s="128"/>
      <c r="B161" s="124"/>
      <c r="C161" s="128"/>
      <c r="D161" s="123"/>
      <c r="E161" s="123"/>
      <c r="F161" s="123"/>
      <c r="G161" s="123"/>
      <c r="H161" s="123"/>
      <c r="I161" s="124"/>
    </row>
    <row r="162" spans="1:9">
      <c r="B162" s="129" t="s">
        <v>66</v>
      </c>
    </row>
    <row r="163" spans="1:9" ht="21">
      <c r="A163" s="545" t="s">
        <v>60</v>
      </c>
      <c r="B163" s="545"/>
      <c r="C163" s="545"/>
      <c r="D163" s="545"/>
      <c r="E163" s="545"/>
      <c r="F163" s="545"/>
      <c r="G163" s="545"/>
      <c r="H163" s="545"/>
      <c r="I163" s="545"/>
    </row>
    <row r="164" spans="1:9" ht="21.5" thickBot="1">
      <c r="A164" s="117"/>
      <c r="B164" s="117"/>
      <c r="C164" s="117"/>
      <c r="D164" s="117"/>
      <c r="E164" s="117"/>
      <c r="F164" s="117"/>
      <c r="G164" s="117"/>
      <c r="H164" s="117"/>
      <c r="I164" s="117"/>
    </row>
    <row r="165" spans="1:9" ht="22.5" customHeight="1" thickBot="1">
      <c r="A165" s="526" t="s">
        <v>61</v>
      </c>
      <c r="B165" s="527"/>
      <c r="C165" s="528">
        <f>基本情報!B3</f>
        <v>0</v>
      </c>
      <c r="D165" s="531"/>
      <c r="E165" s="130" t="s">
        <v>43</v>
      </c>
      <c r="F165" s="527" t="s">
        <v>80</v>
      </c>
      <c r="G165" s="527"/>
      <c r="H165" s="528">
        <f>基本情報!B7</f>
        <v>0</v>
      </c>
      <c r="I165" s="529"/>
    </row>
    <row r="166" spans="1:9">
      <c r="A166" s="535" t="s">
        <v>64</v>
      </c>
      <c r="B166" s="536"/>
      <c r="C166" s="539" t="s">
        <v>343</v>
      </c>
      <c r="D166" s="540"/>
      <c r="E166" s="541"/>
      <c r="F166" s="546" t="s">
        <v>82</v>
      </c>
      <c r="G166" s="546"/>
      <c r="H166" s="532" t="s">
        <v>93</v>
      </c>
      <c r="I166" s="533"/>
    </row>
    <row r="167" spans="1:9" ht="13.5" thickBot="1">
      <c r="A167" s="537"/>
      <c r="B167" s="538"/>
      <c r="C167" s="542"/>
      <c r="D167" s="543"/>
      <c r="E167" s="544"/>
      <c r="F167" s="547"/>
      <c r="G167" s="547"/>
      <c r="H167" s="534"/>
      <c r="I167" s="534"/>
    </row>
    <row r="168" spans="1:9">
      <c r="A168" s="535" t="s">
        <v>84</v>
      </c>
      <c r="B168" s="536"/>
      <c r="C168" s="539" t="s">
        <v>90</v>
      </c>
      <c r="D168" s="540"/>
      <c r="E168" s="540"/>
      <c r="F168" s="540"/>
      <c r="G168" s="540"/>
      <c r="H168" s="540"/>
      <c r="I168" s="541"/>
    </row>
    <row r="169" spans="1:9" ht="13.5" thickBot="1">
      <c r="A169" s="537"/>
      <c r="B169" s="538"/>
      <c r="C169" s="542"/>
      <c r="D169" s="543"/>
      <c r="E169" s="543"/>
      <c r="F169" s="543"/>
      <c r="G169" s="543"/>
      <c r="H169" s="543"/>
      <c r="I169" s="544"/>
    </row>
    <row r="170" spans="1:9" ht="13.5" thickBot="1">
      <c r="A170" s="526" t="s">
        <v>86</v>
      </c>
      <c r="B170" s="530"/>
      <c r="C170" s="526" t="s">
        <v>87</v>
      </c>
      <c r="D170" s="527"/>
      <c r="E170" s="527"/>
      <c r="F170" s="527"/>
      <c r="G170" s="527"/>
      <c r="H170" s="527"/>
      <c r="I170" s="530"/>
    </row>
    <row r="171" spans="1:9">
      <c r="A171" s="126"/>
      <c r="B171" s="127"/>
      <c r="C171" s="126"/>
      <c r="I171" s="127"/>
    </row>
    <row r="172" spans="1:9">
      <c r="A172" s="126"/>
      <c r="B172" s="127"/>
      <c r="C172" s="126"/>
      <c r="I172" s="127"/>
    </row>
    <row r="173" spans="1:9">
      <c r="A173" s="126"/>
      <c r="B173" s="127"/>
      <c r="C173" s="126"/>
      <c r="I173" s="127"/>
    </row>
    <row r="174" spans="1:9">
      <c r="A174" s="126"/>
      <c r="B174" s="127"/>
      <c r="C174" s="126"/>
      <c r="I174" s="127"/>
    </row>
    <row r="175" spans="1:9">
      <c r="A175" s="126"/>
      <c r="B175" s="127"/>
      <c r="C175" s="126"/>
      <c r="I175" s="127"/>
    </row>
    <row r="176" spans="1:9">
      <c r="A176" s="126"/>
      <c r="B176" s="127"/>
      <c r="C176" s="126"/>
      <c r="I176" s="127"/>
    </row>
    <row r="177" spans="1:9">
      <c r="A177" s="126"/>
      <c r="B177" s="127"/>
      <c r="C177" s="126"/>
      <c r="I177" s="127"/>
    </row>
    <row r="178" spans="1:9">
      <c r="A178" s="126"/>
      <c r="B178" s="127"/>
      <c r="C178" s="126"/>
      <c r="I178" s="127"/>
    </row>
    <row r="179" spans="1:9">
      <c r="A179" s="126"/>
      <c r="B179" s="127"/>
      <c r="C179" s="126"/>
      <c r="I179" s="127"/>
    </row>
    <row r="180" spans="1:9">
      <c r="A180" s="126"/>
      <c r="B180" s="127"/>
      <c r="C180" s="126"/>
      <c r="I180" s="127"/>
    </row>
    <row r="181" spans="1:9">
      <c r="A181" s="126"/>
      <c r="B181" s="127"/>
      <c r="C181" s="126"/>
      <c r="I181" s="127"/>
    </row>
    <row r="182" spans="1:9">
      <c r="A182" s="126"/>
      <c r="B182" s="127"/>
      <c r="C182" s="126"/>
      <c r="I182" s="127"/>
    </row>
    <row r="183" spans="1:9">
      <c r="A183" s="126"/>
      <c r="B183" s="127"/>
      <c r="C183" s="126"/>
      <c r="I183" s="127"/>
    </row>
    <row r="184" spans="1:9">
      <c r="A184" s="126"/>
      <c r="B184" s="127"/>
      <c r="C184" s="126"/>
      <c r="I184" s="127"/>
    </row>
    <row r="185" spans="1:9">
      <c r="A185" s="126"/>
      <c r="B185" s="127"/>
      <c r="C185" s="126"/>
      <c r="I185" s="127"/>
    </row>
    <row r="186" spans="1:9">
      <c r="A186" s="126"/>
      <c r="B186" s="127"/>
      <c r="C186" s="126"/>
      <c r="I186" s="127"/>
    </row>
    <row r="187" spans="1:9">
      <c r="A187" s="126"/>
      <c r="B187" s="127"/>
      <c r="C187" s="126"/>
      <c r="I187" s="127"/>
    </row>
    <row r="188" spans="1:9">
      <c r="A188" s="126"/>
      <c r="B188" s="127"/>
      <c r="C188" s="126"/>
      <c r="I188" s="127"/>
    </row>
    <row r="189" spans="1:9">
      <c r="A189" s="126"/>
      <c r="B189" s="127"/>
      <c r="C189" s="126"/>
      <c r="I189" s="127"/>
    </row>
    <row r="190" spans="1:9">
      <c r="A190" s="126"/>
      <c r="B190" s="127"/>
      <c r="C190" s="126"/>
      <c r="I190" s="127"/>
    </row>
    <row r="191" spans="1:9" ht="13.5" thickBot="1">
      <c r="A191" s="128"/>
      <c r="B191" s="124"/>
      <c r="C191" s="128"/>
      <c r="D191" s="123"/>
      <c r="E191" s="123"/>
      <c r="F191" s="123"/>
      <c r="G191" s="123"/>
      <c r="H191" s="123"/>
      <c r="I191" s="124"/>
    </row>
    <row r="192" spans="1:9" ht="13.5" thickBot="1"/>
    <row r="193" spans="1:9" ht="13.5" thickBot="1">
      <c r="A193" s="526" t="s">
        <v>65</v>
      </c>
      <c r="B193" s="530"/>
      <c r="C193" s="526" t="s">
        <v>89</v>
      </c>
      <c r="D193" s="527"/>
      <c r="E193" s="527"/>
      <c r="F193" s="527"/>
      <c r="G193" s="527"/>
      <c r="H193" s="527"/>
      <c r="I193" s="530"/>
    </row>
    <row r="194" spans="1:9">
      <c r="A194" s="125"/>
      <c r="B194" s="122"/>
      <c r="C194" s="125"/>
      <c r="D194" s="121"/>
      <c r="E194" s="121"/>
      <c r="F194" s="121"/>
      <c r="G194" s="121"/>
      <c r="H194" s="121"/>
      <c r="I194" s="122"/>
    </row>
    <row r="195" spans="1:9">
      <c r="A195" s="126"/>
      <c r="B195" s="127"/>
      <c r="C195" s="126"/>
      <c r="I195" s="127"/>
    </row>
    <row r="196" spans="1:9">
      <c r="A196" s="126"/>
      <c r="B196" s="127"/>
      <c r="C196" s="126"/>
      <c r="I196" s="127"/>
    </row>
    <row r="197" spans="1:9">
      <c r="A197" s="126"/>
      <c r="B197" s="127"/>
      <c r="C197" s="126"/>
      <c r="I197" s="127"/>
    </row>
    <row r="198" spans="1:9">
      <c r="A198" s="126"/>
      <c r="B198" s="127"/>
      <c r="C198" s="126"/>
      <c r="I198" s="127"/>
    </row>
    <row r="199" spans="1:9">
      <c r="A199" s="126"/>
      <c r="B199" s="127"/>
      <c r="C199" s="126"/>
      <c r="I199" s="127"/>
    </row>
    <row r="200" spans="1:9">
      <c r="A200" s="126"/>
      <c r="B200" s="127"/>
      <c r="C200" s="126"/>
      <c r="I200" s="127"/>
    </row>
    <row r="201" spans="1:9">
      <c r="A201" s="126"/>
      <c r="B201" s="127"/>
      <c r="C201" s="126"/>
      <c r="I201" s="127"/>
    </row>
    <row r="202" spans="1:9">
      <c r="A202" s="126"/>
      <c r="B202" s="127"/>
      <c r="C202" s="126"/>
      <c r="I202" s="127"/>
    </row>
    <row r="203" spans="1:9">
      <c r="A203" s="126"/>
      <c r="B203" s="127"/>
      <c r="C203" s="126"/>
      <c r="I203" s="127"/>
    </row>
    <row r="204" spans="1:9">
      <c r="A204" s="126"/>
      <c r="B204" s="127"/>
      <c r="C204" s="126"/>
      <c r="I204" s="127"/>
    </row>
    <row r="205" spans="1:9">
      <c r="A205" s="126"/>
      <c r="B205" s="127"/>
      <c r="C205" s="126"/>
      <c r="I205" s="127"/>
    </row>
    <row r="206" spans="1:9">
      <c r="A206" s="126"/>
      <c r="B206" s="127"/>
      <c r="C206" s="126"/>
      <c r="I206" s="127"/>
    </row>
    <row r="207" spans="1:9">
      <c r="A207" s="126"/>
      <c r="B207" s="127"/>
      <c r="C207" s="126"/>
      <c r="I207" s="127"/>
    </row>
    <row r="208" spans="1:9">
      <c r="A208" s="126"/>
      <c r="B208" s="127"/>
      <c r="C208" s="126"/>
      <c r="I208" s="127"/>
    </row>
    <row r="209" spans="1:9">
      <c r="A209" s="126"/>
      <c r="B209" s="127"/>
      <c r="C209" s="126"/>
      <c r="I209" s="127"/>
    </row>
    <row r="210" spans="1:9">
      <c r="A210" s="126"/>
      <c r="B210" s="127"/>
      <c r="C210" s="126"/>
      <c r="I210" s="127"/>
    </row>
    <row r="211" spans="1:9">
      <c r="A211" s="126"/>
      <c r="B211" s="127"/>
      <c r="C211" s="126"/>
      <c r="I211" s="127"/>
    </row>
    <row r="212" spans="1:9">
      <c r="A212" s="126"/>
      <c r="B212" s="127"/>
      <c r="C212" s="126"/>
      <c r="I212" s="127"/>
    </row>
    <row r="213" spans="1:9">
      <c r="A213" s="126"/>
      <c r="B213" s="127"/>
      <c r="C213" s="126"/>
      <c r="I213" s="127"/>
    </row>
    <row r="214" spans="1:9">
      <c r="A214" s="126"/>
      <c r="B214" s="127"/>
      <c r="C214" s="126"/>
      <c r="I214" s="127"/>
    </row>
    <row r="215" spans="1:9" ht="13.5" thickBot="1">
      <c r="A215" s="128"/>
      <c r="B215" s="124"/>
      <c r="C215" s="128"/>
      <c r="D215" s="123"/>
      <c r="E215" s="123"/>
      <c r="F215" s="123"/>
      <c r="G215" s="123"/>
      <c r="H215" s="123"/>
      <c r="I215" s="124"/>
    </row>
    <row r="216" spans="1:9">
      <c r="B216" s="129" t="s">
        <v>66</v>
      </c>
    </row>
    <row r="217" spans="1:9" ht="21">
      <c r="A217" s="545" t="s">
        <v>60</v>
      </c>
      <c r="B217" s="545"/>
      <c r="C217" s="545"/>
      <c r="D217" s="545"/>
      <c r="E217" s="545"/>
      <c r="F217" s="545"/>
      <c r="G217" s="545"/>
      <c r="H217" s="545"/>
      <c r="I217" s="545"/>
    </row>
    <row r="218" spans="1:9" ht="21.5" thickBot="1">
      <c r="A218" s="117"/>
      <c r="B218" s="117"/>
      <c r="C218" s="117"/>
      <c r="D218" s="117"/>
      <c r="E218" s="117"/>
      <c r="F218" s="117"/>
      <c r="G218" s="117"/>
      <c r="H218" s="117"/>
      <c r="I218" s="117"/>
    </row>
    <row r="219" spans="1:9" ht="21.75" customHeight="1" thickBot="1">
      <c r="A219" s="526" t="s">
        <v>61</v>
      </c>
      <c r="B219" s="527"/>
      <c r="C219" s="528">
        <f>基本情報!B3</f>
        <v>0</v>
      </c>
      <c r="D219" s="531"/>
      <c r="E219" s="130" t="s">
        <v>43</v>
      </c>
      <c r="F219" s="527" t="s">
        <v>80</v>
      </c>
      <c r="G219" s="527"/>
      <c r="H219" s="528">
        <f>基本情報!B7</f>
        <v>0</v>
      </c>
      <c r="I219" s="529"/>
    </row>
    <row r="220" spans="1:9">
      <c r="A220" s="535" t="s">
        <v>64</v>
      </c>
      <c r="B220" s="536"/>
      <c r="C220" s="539" t="s">
        <v>646</v>
      </c>
      <c r="D220" s="540"/>
      <c r="E220" s="541"/>
      <c r="F220" s="546" t="s">
        <v>82</v>
      </c>
      <c r="G220" s="546"/>
      <c r="H220" s="532" t="s">
        <v>94</v>
      </c>
      <c r="I220" s="533"/>
    </row>
    <row r="221" spans="1:9" ht="13.5" thickBot="1">
      <c r="A221" s="537"/>
      <c r="B221" s="538"/>
      <c r="C221" s="542"/>
      <c r="D221" s="543"/>
      <c r="E221" s="544"/>
      <c r="F221" s="547"/>
      <c r="G221" s="547"/>
      <c r="H221" s="534"/>
      <c r="I221" s="534"/>
    </row>
    <row r="222" spans="1:9">
      <c r="A222" s="535" t="s">
        <v>84</v>
      </c>
      <c r="B222" s="536"/>
      <c r="C222" s="539" t="s">
        <v>90</v>
      </c>
      <c r="D222" s="540"/>
      <c r="E222" s="540"/>
      <c r="F222" s="540"/>
      <c r="G222" s="540"/>
      <c r="H222" s="540"/>
      <c r="I222" s="541"/>
    </row>
    <row r="223" spans="1:9" ht="13.5" thickBot="1">
      <c r="A223" s="537"/>
      <c r="B223" s="538"/>
      <c r="C223" s="542"/>
      <c r="D223" s="543"/>
      <c r="E223" s="543"/>
      <c r="F223" s="543"/>
      <c r="G223" s="543"/>
      <c r="H223" s="543"/>
      <c r="I223" s="544"/>
    </row>
    <row r="224" spans="1:9" ht="13.5" thickBot="1">
      <c r="A224" s="526" t="s">
        <v>65</v>
      </c>
      <c r="B224" s="530"/>
      <c r="C224" s="526" t="s">
        <v>87</v>
      </c>
      <c r="D224" s="527"/>
      <c r="E224" s="527"/>
      <c r="F224" s="527"/>
      <c r="G224" s="527"/>
      <c r="H224" s="527"/>
      <c r="I224" s="530"/>
    </row>
    <row r="225" spans="1:9">
      <c r="A225" s="126"/>
      <c r="B225" s="127"/>
      <c r="C225" s="126"/>
      <c r="I225" s="127"/>
    </row>
    <row r="226" spans="1:9">
      <c r="A226" s="126"/>
      <c r="B226" s="127"/>
      <c r="C226" s="126"/>
      <c r="I226" s="127"/>
    </row>
    <row r="227" spans="1:9">
      <c r="A227" s="126"/>
      <c r="B227" s="127"/>
      <c r="C227" s="126"/>
      <c r="I227" s="127"/>
    </row>
    <row r="228" spans="1:9">
      <c r="A228" s="126"/>
      <c r="B228" s="127"/>
      <c r="C228" s="126"/>
      <c r="I228" s="127"/>
    </row>
    <row r="229" spans="1:9">
      <c r="A229" s="126"/>
      <c r="B229" s="127"/>
      <c r="C229" s="126"/>
      <c r="I229" s="127"/>
    </row>
    <row r="230" spans="1:9">
      <c r="A230" s="126"/>
      <c r="B230" s="127"/>
      <c r="C230" s="126"/>
      <c r="I230" s="127"/>
    </row>
    <row r="231" spans="1:9">
      <c r="A231" s="126"/>
      <c r="B231" s="127"/>
      <c r="C231" s="126"/>
      <c r="I231" s="127"/>
    </row>
    <row r="232" spans="1:9">
      <c r="A232" s="126"/>
      <c r="B232" s="127"/>
      <c r="C232" s="126"/>
      <c r="I232" s="127"/>
    </row>
    <row r="233" spans="1:9">
      <c r="A233" s="126"/>
      <c r="B233" s="127"/>
      <c r="C233" s="126"/>
      <c r="I233" s="127"/>
    </row>
    <row r="234" spans="1:9">
      <c r="A234" s="126"/>
      <c r="B234" s="127"/>
      <c r="C234" s="126"/>
      <c r="I234" s="127"/>
    </row>
    <row r="235" spans="1:9">
      <c r="A235" s="126"/>
      <c r="B235" s="127"/>
      <c r="C235" s="126"/>
      <c r="I235" s="127"/>
    </row>
    <row r="236" spans="1:9">
      <c r="A236" s="126"/>
      <c r="B236" s="127"/>
      <c r="C236" s="126"/>
      <c r="I236" s="127"/>
    </row>
    <row r="237" spans="1:9">
      <c r="A237" s="126"/>
      <c r="B237" s="127"/>
      <c r="C237" s="126"/>
      <c r="I237" s="127"/>
    </row>
    <row r="238" spans="1:9">
      <c r="A238" s="126"/>
      <c r="B238" s="127"/>
      <c r="C238" s="126"/>
      <c r="I238" s="127"/>
    </row>
    <row r="239" spans="1:9">
      <c r="A239" s="126"/>
      <c r="B239" s="127"/>
      <c r="C239" s="126"/>
      <c r="I239" s="127"/>
    </row>
    <row r="240" spans="1:9">
      <c r="A240" s="126"/>
      <c r="B240" s="127"/>
      <c r="C240" s="126"/>
      <c r="I240" s="127"/>
    </row>
    <row r="241" spans="1:9">
      <c r="A241" s="126"/>
      <c r="B241" s="127"/>
      <c r="C241" s="126"/>
      <c r="I241" s="127"/>
    </row>
    <row r="242" spans="1:9">
      <c r="A242" s="126"/>
      <c r="B242" s="127"/>
      <c r="C242" s="126"/>
      <c r="I242" s="127"/>
    </row>
    <row r="243" spans="1:9">
      <c r="A243" s="126"/>
      <c r="B243" s="127"/>
      <c r="C243" s="126"/>
      <c r="I243" s="127"/>
    </row>
    <row r="244" spans="1:9">
      <c r="A244" s="126"/>
      <c r="B244" s="127"/>
      <c r="C244" s="126"/>
      <c r="I244" s="127"/>
    </row>
    <row r="245" spans="1:9" ht="13.5" thickBot="1">
      <c r="A245" s="128"/>
      <c r="B245" s="124"/>
      <c r="C245" s="128"/>
      <c r="D245" s="123"/>
      <c r="E245" s="123"/>
      <c r="F245" s="123"/>
      <c r="G245" s="123"/>
      <c r="H245" s="123"/>
      <c r="I245" s="124"/>
    </row>
    <row r="246" spans="1:9" ht="13.5" thickBot="1"/>
    <row r="247" spans="1:9" ht="13.5" thickBot="1">
      <c r="A247" s="526" t="s">
        <v>65</v>
      </c>
      <c r="B247" s="530"/>
      <c r="C247" s="526" t="s">
        <v>89</v>
      </c>
      <c r="D247" s="527"/>
      <c r="E247" s="527"/>
      <c r="F247" s="527"/>
      <c r="G247" s="527"/>
      <c r="H247" s="527"/>
      <c r="I247" s="530"/>
    </row>
    <row r="248" spans="1:9">
      <c r="A248" s="125"/>
      <c r="B248" s="122"/>
      <c r="C248" s="125"/>
      <c r="D248" s="121"/>
      <c r="E248" s="121"/>
      <c r="F248" s="121"/>
      <c r="G248" s="121"/>
      <c r="H248" s="121"/>
      <c r="I248" s="122"/>
    </row>
    <row r="249" spans="1:9">
      <c r="A249" s="126"/>
      <c r="B249" s="127"/>
      <c r="C249" s="126"/>
      <c r="I249" s="127"/>
    </row>
    <row r="250" spans="1:9">
      <c r="A250" s="126"/>
      <c r="B250" s="127"/>
      <c r="C250" s="126"/>
      <c r="I250" s="127"/>
    </row>
    <row r="251" spans="1:9">
      <c r="A251" s="126"/>
      <c r="B251" s="127"/>
      <c r="C251" s="126"/>
      <c r="I251" s="127"/>
    </row>
    <row r="252" spans="1:9">
      <c r="A252" s="126"/>
      <c r="B252" s="127"/>
      <c r="C252" s="126"/>
      <c r="I252" s="127"/>
    </row>
    <row r="253" spans="1:9">
      <c r="A253" s="126"/>
      <c r="B253" s="127"/>
      <c r="C253" s="126"/>
      <c r="I253" s="127"/>
    </row>
    <row r="254" spans="1:9">
      <c r="A254" s="126"/>
      <c r="B254" s="127"/>
      <c r="C254" s="126"/>
      <c r="I254" s="127"/>
    </row>
    <row r="255" spans="1:9">
      <c r="A255" s="126"/>
      <c r="B255" s="127"/>
      <c r="C255" s="126"/>
      <c r="I255" s="127"/>
    </row>
    <row r="256" spans="1:9">
      <c r="A256" s="126"/>
      <c r="B256" s="127"/>
      <c r="C256" s="126"/>
      <c r="I256" s="127"/>
    </row>
    <row r="257" spans="1:9">
      <c r="A257" s="126"/>
      <c r="B257" s="127"/>
      <c r="C257" s="126"/>
      <c r="I257" s="127"/>
    </row>
    <row r="258" spans="1:9">
      <c r="A258" s="126"/>
      <c r="B258" s="127"/>
      <c r="C258" s="126"/>
      <c r="I258" s="127"/>
    </row>
    <row r="259" spans="1:9">
      <c r="A259" s="126"/>
      <c r="B259" s="127"/>
      <c r="C259" s="126"/>
      <c r="I259" s="127"/>
    </row>
    <row r="260" spans="1:9">
      <c r="A260" s="126"/>
      <c r="B260" s="127"/>
      <c r="C260" s="126"/>
      <c r="I260" s="127"/>
    </row>
    <row r="261" spans="1:9">
      <c r="A261" s="126"/>
      <c r="B261" s="127"/>
      <c r="C261" s="126"/>
      <c r="I261" s="127"/>
    </row>
    <row r="262" spans="1:9">
      <c r="A262" s="126"/>
      <c r="B262" s="127"/>
      <c r="C262" s="126"/>
      <c r="I262" s="127"/>
    </row>
    <row r="263" spans="1:9">
      <c r="A263" s="126"/>
      <c r="B263" s="127"/>
      <c r="C263" s="126"/>
      <c r="I263" s="127"/>
    </row>
    <row r="264" spans="1:9">
      <c r="A264" s="126"/>
      <c r="B264" s="127"/>
      <c r="C264" s="126"/>
      <c r="I264" s="127"/>
    </row>
    <row r="265" spans="1:9">
      <c r="A265" s="126"/>
      <c r="B265" s="127"/>
      <c r="C265" s="126"/>
      <c r="I265" s="127"/>
    </row>
    <row r="266" spans="1:9">
      <c r="A266" s="126"/>
      <c r="B266" s="127"/>
      <c r="C266" s="126"/>
      <c r="I266" s="127"/>
    </row>
    <row r="267" spans="1:9">
      <c r="A267" s="126"/>
      <c r="B267" s="127"/>
      <c r="C267" s="126"/>
      <c r="I267" s="127"/>
    </row>
    <row r="268" spans="1:9">
      <c r="A268" s="126"/>
      <c r="B268" s="127"/>
      <c r="C268" s="126"/>
      <c r="I268" s="127"/>
    </row>
    <row r="269" spans="1:9" ht="13.5" thickBot="1">
      <c r="A269" s="128"/>
      <c r="B269" s="124"/>
      <c r="C269" s="128"/>
      <c r="D269" s="123"/>
      <c r="E269" s="123"/>
      <c r="F269" s="123"/>
      <c r="G269" s="123"/>
      <c r="H269" s="123"/>
      <c r="I269" s="124"/>
    </row>
    <row r="270" spans="1:9">
      <c r="B270" s="129" t="s">
        <v>66</v>
      </c>
    </row>
    <row r="271" spans="1:9" ht="21">
      <c r="A271" s="545" t="s">
        <v>60</v>
      </c>
      <c r="B271" s="545"/>
      <c r="C271" s="545"/>
      <c r="D271" s="545"/>
      <c r="E271" s="545"/>
      <c r="F271" s="545"/>
      <c r="G271" s="545"/>
      <c r="H271" s="545"/>
      <c r="I271" s="545"/>
    </row>
    <row r="272" spans="1:9" ht="21.5" thickBot="1">
      <c r="A272" s="117"/>
      <c r="B272" s="117"/>
      <c r="C272" s="117"/>
      <c r="D272" s="117"/>
      <c r="E272" s="117"/>
      <c r="F272" s="117"/>
      <c r="G272" s="117"/>
      <c r="H272" s="117"/>
      <c r="I272" s="117"/>
    </row>
    <row r="273" spans="1:9" ht="22.5" customHeight="1" thickBot="1">
      <c r="A273" s="526" t="s">
        <v>61</v>
      </c>
      <c r="B273" s="527"/>
      <c r="C273" s="528">
        <f>基本情報!B3</f>
        <v>0</v>
      </c>
      <c r="D273" s="531"/>
      <c r="E273" s="130" t="s">
        <v>43</v>
      </c>
      <c r="F273" s="527" t="s">
        <v>80</v>
      </c>
      <c r="G273" s="527"/>
      <c r="H273" s="528">
        <f>基本情報!B7</f>
        <v>0</v>
      </c>
      <c r="I273" s="529"/>
    </row>
    <row r="274" spans="1:9">
      <c r="A274" s="535" t="s">
        <v>64</v>
      </c>
      <c r="B274" s="536"/>
      <c r="C274" s="539" t="s">
        <v>96</v>
      </c>
      <c r="D274" s="540"/>
      <c r="E274" s="541"/>
      <c r="F274" s="546" t="s">
        <v>82</v>
      </c>
      <c r="G274" s="546"/>
      <c r="H274" s="532" t="s">
        <v>95</v>
      </c>
      <c r="I274" s="533"/>
    </row>
    <row r="275" spans="1:9" ht="13.5" thickBot="1">
      <c r="A275" s="537"/>
      <c r="B275" s="538"/>
      <c r="C275" s="542"/>
      <c r="D275" s="543"/>
      <c r="E275" s="544"/>
      <c r="F275" s="547"/>
      <c r="G275" s="547"/>
      <c r="H275" s="534"/>
      <c r="I275" s="534"/>
    </row>
    <row r="276" spans="1:9">
      <c r="A276" s="535" t="s">
        <v>84</v>
      </c>
      <c r="B276" s="536"/>
      <c r="C276" s="539" t="s">
        <v>90</v>
      </c>
      <c r="D276" s="540"/>
      <c r="E276" s="540"/>
      <c r="F276" s="540"/>
      <c r="G276" s="540"/>
      <c r="H276" s="540"/>
      <c r="I276" s="541"/>
    </row>
    <row r="277" spans="1:9" ht="13.5" thickBot="1">
      <c r="A277" s="537"/>
      <c r="B277" s="538"/>
      <c r="C277" s="542"/>
      <c r="D277" s="543"/>
      <c r="E277" s="543"/>
      <c r="F277" s="543"/>
      <c r="G277" s="543"/>
      <c r="H277" s="543"/>
      <c r="I277" s="544"/>
    </row>
    <row r="278" spans="1:9" ht="13.5" thickBot="1">
      <c r="A278" s="526" t="s">
        <v>86</v>
      </c>
      <c r="B278" s="530"/>
      <c r="C278" s="526" t="s">
        <v>87</v>
      </c>
      <c r="D278" s="527"/>
      <c r="E278" s="527"/>
      <c r="F278" s="527"/>
      <c r="G278" s="527"/>
      <c r="H278" s="527"/>
      <c r="I278" s="530"/>
    </row>
    <row r="279" spans="1:9">
      <c r="A279" s="126"/>
      <c r="B279" s="127"/>
      <c r="C279" s="126"/>
      <c r="I279" s="127"/>
    </row>
    <row r="280" spans="1:9">
      <c r="A280" s="126"/>
      <c r="B280" s="127"/>
      <c r="C280" s="126"/>
      <c r="I280" s="127"/>
    </row>
    <row r="281" spans="1:9">
      <c r="A281" s="126"/>
      <c r="B281" s="127"/>
      <c r="C281" s="126"/>
      <c r="I281" s="127"/>
    </row>
    <row r="282" spans="1:9">
      <c r="A282" s="126"/>
      <c r="B282" s="127"/>
      <c r="C282" s="126"/>
      <c r="I282" s="127"/>
    </row>
    <row r="283" spans="1:9">
      <c r="A283" s="126"/>
      <c r="B283" s="127"/>
      <c r="C283" s="126"/>
      <c r="I283" s="127"/>
    </row>
    <row r="284" spans="1:9">
      <c r="A284" s="126"/>
      <c r="B284" s="127"/>
      <c r="C284" s="126"/>
      <c r="I284" s="127"/>
    </row>
    <row r="285" spans="1:9">
      <c r="A285" s="126"/>
      <c r="B285" s="127"/>
      <c r="C285" s="126"/>
      <c r="I285" s="127"/>
    </row>
    <row r="286" spans="1:9">
      <c r="A286" s="126"/>
      <c r="B286" s="127"/>
      <c r="C286" s="126"/>
      <c r="I286" s="127"/>
    </row>
    <row r="287" spans="1:9">
      <c r="A287" s="126"/>
      <c r="B287" s="127"/>
      <c r="C287" s="126"/>
      <c r="I287" s="127"/>
    </row>
    <row r="288" spans="1:9">
      <c r="A288" s="126"/>
      <c r="B288" s="127"/>
      <c r="C288" s="126"/>
      <c r="I288" s="127"/>
    </row>
    <row r="289" spans="1:9">
      <c r="A289" s="126"/>
      <c r="B289" s="127"/>
      <c r="C289" s="126"/>
      <c r="I289" s="127"/>
    </row>
    <row r="290" spans="1:9">
      <c r="A290" s="126"/>
      <c r="B290" s="127"/>
      <c r="C290" s="126"/>
      <c r="I290" s="127"/>
    </row>
    <row r="291" spans="1:9">
      <c r="A291" s="126"/>
      <c r="B291" s="127"/>
      <c r="C291" s="126"/>
      <c r="I291" s="127"/>
    </row>
    <row r="292" spans="1:9">
      <c r="A292" s="126"/>
      <c r="B292" s="127"/>
      <c r="C292" s="126"/>
      <c r="I292" s="127"/>
    </row>
    <row r="293" spans="1:9">
      <c r="A293" s="126"/>
      <c r="B293" s="127"/>
      <c r="C293" s="126"/>
      <c r="I293" s="127"/>
    </row>
    <row r="294" spans="1:9">
      <c r="A294" s="126"/>
      <c r="B294" s="127"/>
      <c r="C294" s="126"/>
      <c r="I294" s="127"/>
    </row>
    <row r="295" spans="1:9">
      <c r="A295" s="126"/>
      <c r="B295" s="127"/>
      <c r="C295" s="126"/>
      <c r="I295" s="127"/>
    </row>
    <row r="296" spans="1:9">
      <c r="A296" s="126"/>
      <c r="B296" s="127"/>
      <c r="C296" s="126"/>
      <c r="I296" s="127"/>
    </row>
    <row r="297" spans="1:9">
      <c r="A297" s="126"/>
      <c r="B297" s="127"/>
      <c r="C297" s="126"/>
      <c r="I297" s="127"/>
    </row>
    <row r="298" spans="1:9">
      <c r="A298" s="126"/>
      <c r="B298" s="127"/>
      <c r="C298" s="126"/>
      <c r="I298" s="127"/>
    </row>
    <row r="299" spans="1:9" ht="13.5" thickBot="1">
      <c r="A299" s="128"/>
      <c r="B299" s="124"/>
      <c r="C299" s="128"/>
      <c r="D299" s="123"/>
      <c r="E299" s="123"/>
      <c r="F299" s="123"/>
      <c r="G299" s="123"/>
      <c r="H299" s="123"/>
      <c r="I299" s="124"/>
    </row>
    <row r="300" spans="1:9" ht="13.5" thickBot="1"/>
    <row r="301" spans="1:9" ht="13.5" thickBot="1">
      <c r="A301" s="526" t="s">
        <v>65</v>
      </c>
      <c r="B301" s="530"/>
      <c r="C301" s="526" t="s">
        <v>89</v>
      </c>
      <c r="D301" s="527"/>
      <c r="E301" s="527"/>
      <c r="F301" s="527"/>
      <c r="G301" s="527"/>
      <c r="H301" s="527"/>
      <c r="I301" s="530"/>
    </row>
    <row r="302" spans="1:9">
      <c r="A302" s="125"/>
      <c r="B302" s="122"/>
      <c r="C302" s="125"/>
      <c r="D302" s="121"/>
      <c r="E302" s="121"/>
      <c r="F302" s="121"/>
      <c r="G302" s="121"/>
      <c r="H302" s="121"/>
      <c r="I302" s="122"/>
    </row>
    <row r="303" spans="1:9">
      <c r="A303" s="126"/>
      <c r="B303" s="127"/>
      <c r="C303" s="126"/>
      <c r="I303" s="127"/>
    </row>
    <row r="304" spans="1:9">
      <c r="A304" s="126"/>
      <c r="B304" s="127"/>
      <c r="C304" s="126"/>
      <c r="I304" s="127"/>
    </row>
    <row r="305" spans="1:9">
      <c r="A305" s="126"/>
      <c r="B305" s="127"/>
      <c r="C305" s="126"/>
      <c r="I305" s="127"/>
    </row>
    <row r="306" spans="1:9">
      <c r="A306" s="126"/>
      <c r="B306" s="127"/>
      <c r="C306" s="126"/>
      <c r="I306" s="127"/>
    </row>
    <row r="307" spans="1:9">
      <c r="A307" s="126"/>
      <c r="B307" s="127"/>
      <c r="C307" s="126"/>
      <c r="I307" s="127"/>
    </row>
    <row r="308" spans="1:9">
      <c r="A308" s="126"/>
      <c r="B308" s="127"/>
      <c r="C308" s="126"/>
      <c r="I308" s="127"/>
    </row>
    <row r="309" spans="1:9">
      <c r="A309" s="126"/>
      <c r="B309" s="127"/>
      <c r="C309" s="126"/>
      <c r="I309" s="127"/>
    </row>
    <row r="310" spans="1:9">
      <c r="A310" s="126"/>
      <c r="B310" s="127"/>
      <c r="C310" s="126"/>
      <c r="I310" s="127"/>
    </row>
    <row r="311" spans="1:9">
      <c r="A311" s="126"/>
      <c r="B311" s="127"/>
      <c r="C311" s="126"/>
      <c r="I311" s="127"/>
    </row>
    <row r="312" spans="1:9">
      <c r="A312" s="126"/>
      <c r="B312" s="127"/>
      <c r="C312" s="126"/>
      <c r="I312" s="127"/>
    </row>
    <row r="313" spans="1:9">
      <c r="A313" s="126"/>
      <c r="B313" s="127"/>
      <c r="C313" s="126"/>
      <c r="I313" s="127"/>
    </row>
    <row r="314" spans="1:9">
      <c r="A314" s="126"/>
      <c r="B314" s="127"/>
      <c r="C314" s="126"/>
      <c r="I314" s="127"/>
    </row>
    <row r="315" spans="1:9">
      <c r="A315" s="126"/>
      <c r="B315" s="127"/>
      <c r="C315" s="126"/>
      <c r="I315" s="127"/>
    </row>
    <row r="316" spans="1:9">
      <c r="A316" s="126"/>
      <c r="B316" s="127"/>
      <c r="C316" s="126"/>
      <c r="I316" s="127"/>
    </row>
    <row r="317" spans="1:9">
      <c r="A317" s="126"/>
      <c r="B317" s="127"/>
      <c r="C317" s="126"/>
      <c r="I317" s="127"/>
    </row>
    <row r="318" spans="1:9">
      <c r="A318" s="126"/>
      <c r="B318" s="127"/>
      <c r="C318" s="126"/>
      <c r="I318" s="127"/>
    </row>
    <row r="319" spans="1:9">
      <c r="A319" s="126"/>
      <c r="B319" s="127"/>
      <c r="C319" s="126"/>
      <c r="I319" s="127"/>
    </row>
    <row r="320" spans="1:9">
      <c r="A320" s="126"/>
      <c r="B320" s="127"/>
      <c r="C320" s="126"/>
      <c r="I320" s="127"/>
    </row>
    <row r="321" spans="1:9">
      <c r="A321" s="126"/>
      <c r="B321" s="127"/>
      <c r="C321" s="126"/>
      <c r="I321" s="127"/>
    </row>
    <row r="322" spans="1:9">
      <c r="A322" s="126"/>
      <c r="B322" s="127"/>
      <c r="C322" s="126"/>
      <c r="I322" s="127"/>
    </row>
    <row r="323" spans="1:9" ht="13.5" thickBot="1">
      <c r="A323" s="128"/>
      <c r="B323" s="124"/>
      <c r="C323" s="128"/>
      <c r="D323" s="123"/>
      <c r="E323" s="123"/>
      <c r="F323" s="123"/>
      <c r="G323" s="123"/>
      <c r="H323" s="123"/>
      <c r="I323" s="124"/>
    </row>
    <row r="324" spans="1:9">
      <c r="B324" s="129" t="s">
        <v>66</v>
      </c>
    </row>
    <row r="325" spans="1:9" ht="21">
      <c r="A325" s="545" t="s">
        <v>60</v>
      </c>
      <c r="B325" s="545"/>
      <c r="C325" s="545"/>
      <c r="D325" s="545"/>
      <c r="E325" s="545"/>
      <c r="F325" s="545"/>
      <c r="G325" s="545"/>
      <c r="H325" s="545"/>
      <c r="I325" s="545"/>
    </row>
    <row r="326" spans="1:9" ht="21.5" thickBot="1">
      <c r="A326" s="117"/>
      <c r="B326" s="117"/>
      <c r="C326" s="117"/>
      <c r="D326" s="117"/>
      <c r="E326" s="117"/>
      <c r="F326" s="117"/>
      <c r="G326" s="117"/>
      <c r="H326" s="117"/>
      <c r="I326" s="117"/>
    </row>
    <row r="327" spans="1:9" ht="22.5" customHeight="1" thickBot="1">
      <c r="A327" s="526" t="s">
        <v>61</v>
      </c>
      <c r="B327" s="527"/>
      <c r="C327" s="528">
        <f>基本情報!B3</f>
        <v>0</v>
      </c>
      <c r="D327" s="531"/>
      <c r="E327" s="130" t="s">
        <v>43</v>
      </c>
      <c r="F327" s="527" t="s">
        <v>80</v>
      </c>
      <c r="G327" s="527"/>
      <c r="H327" s="528">
        <f>基本情報!B7</f>
        <v>0</v>
      </c>
      <c r="I327" s="529"/>
    </row>
    <row r="328" spans="1:9">
      <c r="A328" s="535" t="s">
        <v>64</v>
      </c>
      <c r="B328" s="536"/>
      <c r="C328" s="539" t="s">
        <v>96</v>
      </c>
      <c r="D328" s="540"/>
      <c r="E328" s="541"/>
      <c r="F328" s="546" t="s">
        <v>82</v>
      </c>
      <c r="G328" s="546"/>
      <c r="H328" s="532" t="s">
        <v>62</v>
      </c>
      <c r="I328" s="533"/>
    </row>
    <row r="329" spans="1:9" ht="13.5" thickBot="1">
      <c r="A329" s="537"/>
      <c r="B329" s="538"/>
      <c r="C329" s="542"/>
      <c r="D329" s="543"/>
      <c r="E329" s="544"/>
      <c r="F329" s="547"/>
      <c r="G329" s="547"/>
      <c r="H329" s="534"/>
      <c r="I329" s="534"/>
    </row>
    <row r="330" spans="1:9">
      <c r="A330" s="535" t="s">
        <v>84</v>
      </c>
      <c r="B330" s="536"/>
      <c r="C330" s="539" t="s">
        <v>90</v>
      </c>
      <c r="D330" s="540"/>
      <c r="E330" s="540"/>
      <c r="F330" s="540"/>
      <c r="G330" s="540"/>
      <c r="H330" s="540"/>
      <c r="I330" s="541"/>
    </row>
    <row r="331" spans="1:9" ht="13.5" thickBot="1">
      <c r="A331" s="537"/>
      <c r="B331" s="538"/>
      <c r="C331" s="542"/>
      <c r="D331" s="543"/>
      <c r="E331" s="543"/>
      <c r="F331" s="543"/>
      <c r="G331" s="543"/>
      <c r="H331" s="543"/>
      <c r="I331" s="544"/>
    </row>
    <row r="332" spans="1:9" ht="13.5" thickBot="1">
      <c r="A332" s="526" t="s">
        <v>86</v>
      </c>
      <c r="B332" s="530"/>
      <c r="C332" s="526" t="s">
        <v>87</v>
      </c>
      <c r="D332" s="527"/>
      <c r="E332" s="527"/>
      <c r="F332" s="527"/>
      <c r="G332" s="527"/>
      <c r="H332" s="527"/>
      <c r="I332" s="530"/>
    </row>
    <row r="333" spans="1:9">
      <c r="A333" s="126"/>
      <c r="B333" s="127"/>
      <c r="C333" s="126"/>
      <c r="I333" s="127"/>
    </row>
    <row r="334" spans="1:9">
      <c r="A334" s="126"/>
      <c r="B334" s="127"/>
      <c r="C334" s="126"/>
      <c r="I334" s="127"/>
    </row>
    <row r="335" spans="1:9">
      <c r="A335" s="126"/>
      <c r="B335" s="127"/>
      <c r="C335" s="126"/>
      <c r="I335" s="127"/>
    </row>
    <row r="336" spans="1:9">
      <c r="A336" s="126"/>
      <c r="B336" s="127"/>
      <c r="C336" s="126"/>
      <c r="I336" s="127"/>
    </row>
    <row r="337" spans="1:9">
      <c r="A337" s="126"/>
      <c r="B337" s="127"/>
      <c r="C337" s="126"/>
      <c r="I337" s="127"/>
    </row>
    <row r="338" spans="1:9">
      <c r="A338" s="126"/>
      <c r="B338" s="127"/>
      <c r="C338" s="126"/>
      <c r="I338" s="127"/>
    </row>
    <row r="339" spans="1:9">
      <c r="A339" s="126"/>
      <c r="B339" s="127"/>
      <c r="C339" s="126"/>
      <c r="I339" s="127"/>
    </row>
    <row r="340" spans="1:9">
      <c r="A340" s="126"/>
      <c r="B340" s="127"/>
      <c r="C340" s="126"/>
      <c r="I340" s="127"/>
    </row>
    <row r="341" spans="1:9">
      <c r="A341" s="126"/>
      <c r="B341" s="127"/>
      <c r="C341" s="126"/>
      <c r="I341" s="127"/>
    </row>
    <row r="342" spans="1:9">
      <c r="A342" s="126"/>
      <c r="B342" s="127"/>
      <c r="C342" s="126"/>
      <c r="I342" s="127"/>
    </row>
    <row r="343" spans="1:9">
      <c r="A343" s="126"/>
      <c r="B343" s="127"/>
      <c r="C343" s="126"/>
      <c r="I343" s="127"/>
    </row>
    <row r="344" spans="1:9">
      <c r="A344" s="126"/>
      <c r="B344" s="127"/>
      <c r="C344" s="126"/>
      <c r="I344" s="127"/>
    </row>
    <row r="345" spans="1:9">
      <c r="A345" s="126"/>
      <c r="B345" s="127"/>
      <c r="C345" s="126"/>
      <c r="I345" s="127"/>
    </row>
    <row r="346" spans="1:9">
      <c r="A346" s="126"/>
      <c r="B346" s="127"/>
      <c r="C346" s="126"/>
      <c r="I346" s="127"/>
    </row>
    <row r="347" spans="1:9">
      <c r="A347" s="126"/>
      <c r="B347" s="127"/>
      <c r="C347" s="126"/>
      <c r="I347" s="127"/>
    </row>
    <row r="348" spans="1:9">
      <c r="A348" s="126"/>
      <c r="B348" s="127"/>
      <c r="C348" s="126"/>
      <c r="I348" s="127"/>
    </row>
    <row r="349" spans="1:9">
      <c r="A349" s="126"/>
      <c r="B349" s="127"/>
      <c r="C349" s="126"/>
      <c r="I349" s="127"/>
    </row>
    <row r="350" spans="1:9">
      <c r="A350" s="126"/>
      <c r="B350" s="127"/>
      <c r="C350" s="126"/>
      <c r="I350" s="127"/>
    </row>
    <row r="351" spans="1:9">
      <c r="A351" s="126"/>
      <c r="B351" s="127"/>
      <c r="C351" s="126"/>
      <c r="I351" s="127"/>
    </row>
    <row r="352" spans="1:9">
      <c r="A352" s="126"/>
      <c r="B352" s="127"/>
      <c r="C352" s="126"/>
      <c r="I352" s="127"/>
    </row>
    <row r="353" spans="1:9" ht="13.5" thickBot="1">
      <c r="A353" s="128"/>
      <c r="B353" s="124"/>
      <c r="C353" s="128"/>
      <c r="D353" s="123"/>
      <c r="E353" s="123"/>
      <c r="F353" s="123"/>
      <c r="G353" s="123"/>
      <c r="H353" s="123"/>
      <c r="I353" s="124"/>
    </row>
    <row r="354" spans="1:9" ht="13.5" thickBot="1"/>
    <row r="355" spans="1:9" ht="13.5" thickBot="1">
      <c r="A355" s="526" t="s">
        <v>68</v>
      </c>
      <c r="B355" s="530"/>
      <c r="C355" s="526" t="s">
        <v>89</v>
      </c>
      <c r="D355" s="527"/>
      <c r="E355" s="527"/>
      <c r="F355" s="527"/>
      <c r="G355" s="527"/>
      <c r="H355" s="527"/>
      <c r="I355" s="530"/>
    </row>
    <row r="356" spans="1:9">
      <c r="A356" s="125"/>
      <c r="B356" s="122"/>
      <c r="C356" s="125"/>
      <c r="D356" s="121"/>
      <c r="E356" s="121"/>
      <c r="F356" s="121"/>
      <c r="G356" s="121"/>
      <c r="H356" s="121"/>
      <c r="I356" s="122"/>
    </row>
    <row r="357" spans="1:9">
      <c r="A357" s="126"/>
      <c r="B357" s="127"/>
      <c r="C357" s="126"/>
      <c r="I357" s="127"/>
    </row>
    <row r="358" spans="1:9">
      <c r="A358" s="126"/>
      <c r="B358" s="127"/>
      <c r="C358" s="126"/>
      <c r="I358" s="127"/>
    </row>
    <row r="359" spans="1:9">
      <c r="A359" s="126"/>
      <c r="B359" s="127"/>
      <c r="C359" s="126"/>
      <c r="I359" s="127"/>
    </row>
    <row r="360" spans="1:9">
      <c r="A360" s="126"/>
      <c r="B360" s="127"/>
      <c r="C360" s="126"/>
      <c r="I360" s="127"/>
    </row>
    <row r="361" spans="1:9">
      <c r="A361" s="126"/>
      <c r="B361" s="127"/>
      <c r="C361" s="126"/>
      <c r="I361" s="127"/>
    </row>
    <row r="362" spans="1:9">
      <c r="A362" s="126"/>
      <c r="B362" s="127"/>
      <c r="C362" s="126"/>
      <c r="I362" s="127"/>
    </row>
    <row r="363" spans="1:9">
      <c r="A363" s="126"/>
      <c r="B363" s="127"/>
      <c r="C363" s="126"/>
      <c r="I363" s="127"/>
    </row>
    <row r="364" spans="1:9">
      <c r="A364" s="126"/>
      <c r="B364" s="127"/>
      <c r="C364" s="126"/>
      <c r="I364" s="127"/>
    </row>
    <row r="365" spans="1:9">
      <c r="A365" s="126"/>
      <c r="B365" s="127"/>
      <c r="C365" s="126"/>
      <c r="I365" s="127"/>
    </row>
    <row r="366" spans="1:9">
      <c r="A366" s="126"/>
      <c r="B366" s="127"/>
      <c r="C366" s="126"/>
      <c r="I366" s="127"/>
    </row>
    <row r="367" spans="1:9">
      <c r="A367" s="126"/>
      <c r="B367" s="127"/>
      <c r="C367" s="126"/>
      <c r="I367" s="127"/>
    </row>
    <row r="368" spans="1:9">
      <c r="A368" s="126"/>
      <c r="B368" s="127"/>
      <c r="C368" s="126"/>
      <c r="I368" s="127"/>
    </row>
    <row r="369" spans="1:9">
      <c r="A369" s="126"/>
      <c r="B369" s="127"/>
      <c r="C369" s="126"/>
      <c r="I369" s="127"/>
    </row>
    <row r="370" spans="1:9">
      <c r="A370" s="126"/>
      <c r="B370" s="127"/>
      <c r="C370" s="126"/>
      <c r="I370" s="127"/>
    </row>
    <row r="371" spans="1:9">
      <c r="A371" s="126"/>
      <c r="B371" s="127"/>
      <c r="C371" s="126"/>
      <c r="I371" s="127"/>
    </row>
    <row r="372" spans="1:9">
      <c r="A372" s="126"/>
      <c r="B372" s="127"/>
      <c r="C372" s="126"/>
      <c r="I372" s="127"/>
    </row>
    <row r="373" spans="1:9">
      <c r="A373" s="126"/>
      <c r="B373" s="127"/>
      <c r="C373" s="126"/>
      <c r="I373" s="127"/>
    </row>
    <row r="374" spans="1:9">
      <c r="A374" s="126"/>
      <c r="B374" s="127"/>
      <c r="C374" s="126"/>
      <c r="I374" s="127"/>
    </row>
    <row r="375" spans="1:9">
      <c r="A375" s="126"/>
      <c r="B375" s="127"/>
      <c r="C375" s="126"/>
      <c r="I375" s="127"/>
    </row>
    <row r="376" spans="1:9">
      <c r="A376" s="126"/>
      <c r="B376" s="127"/>
      <c r="C376" s="126"/>
      <c r="I376" s="127"/>
    </row>
    <row r="377" spans="1:9" ht="13.5" thickBot="1">
      <c r="A377" s="128"/>
      <c r="B377" s="124"/>
      <c r="C377" s="128"/>
      <c r="D377" s="123"/>
      <c r="E377" s="123"/>
      <c r="F377" s="123"/>
      <c r="G377" s="123"/>
      <c r="H377" s="123"/>
      <c r="I377" s="124"/>
    </row>
    <row r="378" spans="1:9">
      <c r="B378" s="129" t="s">
        <v>66</v>
      </c>
    </row>
    <row r="379" spans="1:9" ht="21">
      <c r="A379" s="545" t="s">
        <v>60</v>
      </c>
      <c r="B379" s="545"/>
      <c r="C379" s="545"/>
      <c r="D379" s="545"/>
      <c r="E379" s="545"/>
      <c r="F379" s="545"/>
      <c r="G379" s="545"/>
      <c r="H379" s="545"/>
      <c r="I379" s="545"/>
    </row>
    <row r="380" spans="1:9" ht="21.5" thickBot="1">
      <c r="A380" s="117"/>
      <c r="B380" s="117"/>
      <c r="C380" s="117"/>
      <c r="D380" s="117"/>
      <c r="E380" s="117"/>
      <c r="F380" s="117"/>
      <c r="G380" s="117"/>
      <c r="H380" s="117"/>
      <c r="I380" s="117"/>
    </row>
    <row r="381" spans="1:9" ht="22.5" customHeight="1" thickBot="1">
      <c r="A381" s="526" t="s">
        <v>61</v>
      </c>
      <c r="B381" s="527"/>
      <c r="C381" s="528">
        <f>基本情報!B3</f>
        <v>0</v>
      </c>
      <c r="D381" s="531"/>
      <c r="E381" s="130" t="s">
        <v>43</v>
      </c>
      <c r="F381" s="527" t="s">
        <v>80</v>
      </c>
      <c r="G381" s="527"/>
      <c r="H381" s="528">
        <f>基本情報!B7</f>
        <v>0</v>
      </c>
      <c r="I381" s="529"/>
    </row>
    <row r="382" spans="1:9">
      <c r="A382" s="535" t="s">
        <v>64</v>
      </c>
      <c r="B382" s="536"/>
      <c r="C382" s="539" t="s">
        <v>341</v>
      </c>
      <c r="D382" s="540"/>
      <c r="E382" s="541"/>
      <c r="F382" s="546" t="s">
        <v>82</v>
      </c>
      <c r="G382" s="546"/>
      <c r="H382" s="532" t="s">
        <v>342</v>
      </c>
      <c r="I382" s="533"/>
    </row>
    <row r="383" spans="1:9" ht="13.5" thickBot="1">
      <c r="A383" s="537"/>
      <c r="B383" s="538"/>
      <c r="C383" s="542"/>
      <c r="D383" s="543"/>
      <c r="E383" s="544"/>
      <c r="F383" s="547"/>
      <c r="G383" s="547"/>
      <c r="H383" s="534"/>
      <c r="I383" s="534"/>
    </row>
    <row r="384" spans="1:9">
      <c r="A384" s="535" t="s">
        <v>84</v>
      </c>
      <c r="B384" s="536"/>
      <c r="C384" s="539" t="s">
        <v>90</v>
      </c>
      <c r="D384" s="540"/>
      <c r="E384" s="540"/>
      <c r="F384" s="540"/>
      <c r="G384" s="540"/>
      <c r="H384" s="540"/>
      <c r="I384" s="541"/>
    </row>
    <row r="385" spans="1:9" ht="13.5" thickBot="1">
      <c r="A385" s="537"/>
      <c r="B385" s="538"/>
      <c r="C385" s="542"/>
      <c r="D385" s="543"/>
      <c r="E385" s="543"/>
      <c r="F385" s="543"/>
      <c r="G385" s="543"/>
      <c r="H385" s="543"/>
      <c r="I385" s="544"/>
    </row>
    <row r="386" spans="1:9" ht="13.5" thickBot="1">
      <c r="A386" s="526" t="s">
        <v>88</v>
      </c>
      <c r="B386" s="530"/>
      <c r="C386" s="526" t="s">
        <v>87</v>
      </c>
      <c r="D386" s="527"/>
      <c r="E386" s="527"/>
      <c r="F386" s="527"/>
      <c r="G386" s="527"/>
      <c r="H386" s="527"/>
      <c r="I386" s="530"/>
    </row>
    <row r="387" spans="1:9">
      <c r="A387" s="126"/>
      <c r="B387" s="127"/>
      <c r="C387" s="126"/>
      <c r="I387" s="127"/>
    </row>
    <row r="388" spans="1:9">
      <c r="A388" s="126"/>
      <c r="B388" s="127"/>
      <c r="C388" s="126"/>
      <c r="I388" s="127"/>
    </row>
    <row r="389" spans="1:9">
      <c r="A389" s="126"/>
      <c r="B389" s="127"/>
      <c r="C389" s="126"/>
      <c r="I389" s="127"/>
    </row>
    <row r="390" spans="1:9">
      <c r="A390" s="126"/>
      <c r="B390" s="127"/>
      <c r="C390" s="126"/>
      <c r="I390" s="127"/>
    </row>
    <row r="391" spans="1:9">
      <c r="A391" s="126"/>
      <c r="B391" s="127"/>
      <c r="C391" s="126"/>
      <c r="I391" s="127"/>
    </row>
    <row r="392" spans="1:9">
      <c r="A392" s="126"/>
      <c r="B392" s="127"/>
      <c r="C392" s="126"/>
      <c r="I392" s="127"/>
    </row>
    <row r="393" spans="1:9">
      <c r="A393" s="126"/>
      <c r="B393" s="127"/>
      <c r="C393" s="126"/>
      <c r="I393" s="127"/>
    </row>
    <row r="394" spans="1:9">
      <c r="A394" s="126"/>
      <c r="B394" s="127"/>
      <c r="C394" s="126"/>
      <c r="I394" s="127"/>
    </row>
    <row r="395" spans="1:9">
      <c r="A395" s="126"/>
      <c r="B395" s="127"/>
      <c r="C395" s="126"/>
      <c r="I395" s="127"/>
    </row>
    <row r="396" spans="1:9">
      <c r="A396" s="126"/>
      <c r="B396" s="127"/>
      <c r="C396" s="126"/>
      <c r="I396" s="127"/>
    </row>
    <row r="397" spans="1:9">
      <c r="A397" s="126"/>
      <c r="B397" s="127"/>
      <c r="C397" s="126"/>
      <c r="I397" s="127"/>
    </row>
    <row r="398" spans="1:9">
      <c r="A398" s="126"/>
      <c r="B398" s="127"/>
      <c r="C398" s="126"/>
      <c r="I398" s="127"/>
    </row>
    <row r="399" spans="1:9">
      <c r="A399" s="126"/>
      <c r="B399" s="127"/>
      <c r="C399" s="126"/>
      <c r="I399" s="127"/>
    </row>
    <row r="400" spans="1:9">
      <c r="A400" s="126"/>
      <c r="B400" s="127"/>
      <c r="C400" s="126"/>
      <c r="I400" s="127"/>
    </row>
    <row r="401" spans="1:9">
      <c r="A401" s="126"/>
      <c r="B401" s="127"/>
      <c r="C401" s="126"/>
      <c r="I401" s="127"/>
    </row>
    <row r="402" spans="1:9">
      <c r="A402" s="126"/>
      <c r="B402" s="127"/>
      <c r="C402" s="126"/>
      <c r="I402" s="127"/>
    </row>
    <row r="403" spans="1:9">
      <c r="A403" s="126"/>
      <c r="B403" s="127"/>
      <c r="C403" s="126"/>
      <c r="I403" s="127"/>
    </row>
    <row r="404" spans="1:9">
      <c r="A404" s="126"/>
      <c r="B404" s="127"/>
      <c r="C404" s="126"/>
      <c r="I404" s="127"/>
    </row>
    <row r="405" spans="1:9">
      <c r="A405" s="126"/>
      <c r="B405" s="127"/>
      <c r="C405" s="126"/>
      <c r="I405" s="127"/>
    </row>
    <row r="406" spans="1:9">
      <c r="A406" s="126"/>
      <c r="B406" s="127"/>
      <c r="C406" s="126"/>
      <c r="I406" s="127"/>
    </row>
    <row r="407" spans="1:9" ht="13.5" thickBot="1">
      <c r="A407" s="128"/>
      <c r="B407" s="124"/>
      <c r="C407" s="128"/>
      <c r="D407" s="123"/>
      <c r="E407" s="123"/>
      <c r="F407" s="123"/>
      <c r="G407" s="123"/>
      <c r="H407" s="123"/>
      <c r="I407" s="124"/>
    </row>
    <row r="408" spans="1:9" ht="13.5" thickBot="1"/>
    <row r="409" spans="1:9" ht="13.5" thickBot="1">
      <c r="A409" s="526" t="s">
        <v>67</v>
      </c>
      <c r="B409" s="530"/>
      <c r="C409" s="526" t="s">
        <v>89</v>
      </c>
      <c r="D409" s="527"/>
      <c r="E409" s="527"/>
      <c r="F409" s="527"/>
      <c r="G409" s="527"/>
      <c r="H409" s="527"/>
      <c r="I409" s="530"/>
    </row>
    <row r="410" spans="1:9">
      <c r="A410" s="125"/>
      <c r="B410" s="122"/>
      <c r="C410" s="125"/>
      <c r="D410" s="121"/>
      <c r="E410" s="121"/>
      <c r="F410" s="121"/>
      <c r="G410" s="121"/>
      <c r="H410" s="121"/>
      <c r="I410" s="122"/>
    </row>
    <row r="411" spans="1:9">
      <c r="A411" s="126"/>
      <c r="B411" s="127"/>
      <c r="C411" s="126"/>
      <c r="I411" s="127"/>
    </row>
    <row r="412" spans="1:9">
      <c r="A412" s="126"/>
      <c r="B412" s="127"/>
      <c r="C412" s="126"/>
      <c r="I412" s="127"/>
    </row>
    <row r="413" spans="1:9">
      <c r="A413" s="126"/>
      <c r="B413" s="127"/>
      <c r="C413" s="126"/>
      <c r="I413" s="127"/>
    </row>
    <row r="414" spans="1:9">
      <c r="A414" s="126"/>
      <c r="B414" s="127"/>
      <c r="C414" s="126"/>
      <c r="I414" s="127"/>
    </row>
    <row r="415" spans="1:9">
      <c r="A415" s="126"/>
      <c r="B415" s="127"/>
      <c r="C415" s="126"/>
      <c r="I415" s="127"/>
    </row>
    <row r="416" spans="1:9">
      <c r="A416" s="126"/>
      <c r="B416" s="127"/>
      <c r="C416" s="126"/>
      <c r="I416" s="127"/>
    </row>
    <row r="417" spans="1:9">
      <c r="A417" s="126"/>
      <c r="B417" s="127"/>
      <c r="C417" s="126"/>
      <c r="I417" s="127"/>
    </row>
    <row r="418" spans="1:9">
      <c r="A418" s="126"/>
      <c r="B418" s="127"/>
      <c r="C418" s="126"/>
      <c r="I418" s="127"/>
    </row>
    <row r="419" spans="1:9">
      <c r="A419" s="126"/>
      <c r="B419" s="127"/>
      <c r="C419" s="126"/>
      <c r="I419" s="127"/>
    </row>
    <row r="420" spans="1:9">
      <c r="A420" s="126"/>
      <c r="B420" s="127"/>
      <c r="C420" s="126"/>
      <c r="I420" s="127"/>
    </row>
    <row r="421" spans="1:9">
      <c r="A421" s="126"/>
      <c r="B421" s="127"/>
      <c r="C421" s="126"/>
      <c r="I421" s="127"/>
    </row>
    <row r="422" spans="1:9">
      <c r="A422" s="126"/>
      <c r="B422" s="127"/>
      <c r="C422" s="126"/>
      <c r="I422" s="127"/>
    </row>
    <row r="423" spans="1:9">
      <c r="A423" s="126"/>
      <c r="B423" s="127"/>
      <c r="C423" s="126"/>
      <c r="I423" s="127"/>
    </row>
    <row r="424" spans="1:9">
      <c r="A424" s="126"/>
      <c r="B424" s="127"/>
      <c r="C424" s="126"/>
      <c r="I424" s="127"/>
    </row>
    <row r="425" spans="1:9">
      <c r="A425" s="126"/>
      <c r="B425" s="127"/>
      <c r="C425" s="126"/>
      <c r="I425" s="127"/>
    </row>
    <row r="426" spans="1:9">
      <c r="A426" s="126"/>
      <c r="B426" s="127"/>
      <c r="C426" s="126"/>
      <c r="I426" s="127"/>
    </row>
    <row r="427" spans="1:9">
      <c r="A427" s="126"/>
      <c r="B427" s="127"/>
      <c r="C427" s="126"/>
      <c r="I427" s="127"/>
    </row>
    <row r="428" spans="1:9">
      <c r="A428" s="126"/>
      <c r="B428" s="127"/>
      <c r="C428" s="126"/>
      <c r="I428" s="127"/>
    </row>
    <row r="429" spans="1:9">
      <c r="A429" s="126"/>
      <c r="B429" s="127"/>
      <c r="C429" s="126"/>
      <c r="I429" s="127"/>
    </row>
    <row r="430" spans="1:9">
      <c r="A430" s="126"/>
      <c r="B430" s="127"/>
      <c r="C430" s="126"/>
      <c r="I430" s="127"/>
    </row>
    <row r="431" spans="1:9" ht="13.5" thickBot="1">
      <c r="A431" s="128"/>
      <c r="B431" s="124"/>
      <c r="C431" s="128"/>
      <c r="D431" s="123"/>
      <c r="E431" s="123"/>
      <c r="F431" s="123"/>
      <c r="G431" s="123"/>
      <c r="H431" s="123"/>
      <c r="I431" s="124"/>
    </row>
    <row r="432" spans="1:9">
      <c r="B432" s="129" t="s">
        <v>66</v>
      </c>
    </row>
    <row r="433" spans="1:9" ht="21">
      <c r="A433" s="545" t="s">
        <v>60</v>
      </c>
      <c r="B433" s="545"/>
      <c r="C433" s="545"/>
      <c r="D433" s="545"/>
      <c r="E433" s="545"/>
      <c r="F433" s="545"/>
      <c r="G433" s="545"/>
      <c r="H433" s="545"/>
      <c r="I433" s="545"/>
    </row>
    <row r="434" spans="1:9" ht="21.5" thickBot="1">
      <c r="A434" s="117"/>
      <c r="B434" s="117"/>
      <c r="C434" s="117"/>
      <c r="D434" s="117"/>
      <c r="E434" s="117"/>
      <c r="F434" s="117"/>
      <c r="G434" s="117"/>
      <c r="H434" s="117"/>
      <c r="I434" s="117"/>
    </row>
    <row r="435" spans="1:9" ht="22.5" customHeight="1" thickBot="1">
      <c r="A435" s="526" t="s">
        <v>61</v>
      </c>
      <c r="B435" s="527"/>
      <c r="C435" s="528">
        <f>基本情報!B3</f>
        <v>0</v>
      </c>
      <c r="D435" s="531"/>
      <c r="E435" s="130" t="s">
        <v>43</v>
      </c>
      <c r="F435" s="527" t="s">
        <v>80</v>
      </c>
      <c r="G435" s="527"/>
      <c r="H435" s="528">
        <f>基本情報!B7</f>
        <v>0</v>
      </c>
      <c r="I435" s="529"/>
    </row>
    <row r="436" spans="1:9">
      <c r="A436" s="535" t="s">
        <v>64</v>
      </c>
      <c r="B436" s="536"/>
      <c r="C436" s="539" t="s">
        <v>343</v>
      </c>
      <c r="D436" s="540"/>
      <c r="E436" s="541"/>
      <c r="F436" s="546" t="s">
        <v>82</v>
      </c>
      <c r="G436" s="546"/>
      <c r="H436" s="532" t="s">
        <v>344</v>
      </c>
      <c r="I436" s="533"/>
    </row>
    <row r="437" spans="1:9" ht="13.5" thickBot="1">
      <c r="A437" s="537"/>
      <c r="B437" s="538"/>
      <c r="C437" s="542"/>
      <c r="D437" s="543"/>
      <c r="E437" s="544"/>
      <c r="F437" s="547"/>
      <c r="G437" s="547"/>
      <c r="H437" s="534"/>
      <c r="I437" s="534"/>
    </row>
    <row r="438" spans="1:9">
      <c r="A438" s="535" t="s">
        <v>84</v>
      </c>
      <c r="B438" s="536"/>
      <c r="C438" s="539" t="s">
        <v>90</v>
      </c>
      <c r="D438" s="540"/>
      <c r="E438" s="540"/>
      <c r="F438" s="540"/>
      <c r="G438" s="540"/>
      <c r="H438" s="540"/>
      <c r="I438" s="541"/>
    </row>
    <row r="439" spans="1:9" ht="13.5" thickBot="1">
      <c r="A439" s="537"/>
      <c r="B439" s="538"/>
      <c r="C439" s="542"/>
      <c r="D439" s="543"/>
      <c r="E439" s="543"/>
      <c r="F439" s="543"/>
      <c r="G439" s="543"/>
      <c r="H439" s="543"/>
      <c r="I439" s="544"/>
    </row>
    <row r="440" spans="1:9" ht="13.5" thickBot="1">
      <c r="A440" s="526" t="s">
        <v>65</v>
      </c>
      <c r="B440" s="530"/>
      <c r="C440" s="526" t="s">
        <v>87</v>
      </c>
      <c r="D440" s="527"/>
      <c r="E440" s="527"/>
      <c r="F440" s="527"/>
      <c r="G440" s="527"/>
      <c r="H440" s="527"/>
      <c r="I440" s="530"/>
    </row>
    <row r="441" spans="1:9">
      <c r="A441" s="126"/>
      <c r="B441" s="127"/>
      <c r="C441" s="126"/>
      <c r="I441" s="127"/>
    </row>
    <row r="442" spans="1:9">
      <c r="A442" s="126"/>
      <c r="B442" s="127"/>
      <c r="C442" s="126"/>
      <c r="I442" s="127"/>
    </row>
    <row r="443" spans="1:9">
      <c r="A443" s="126"/>
      <c r="B443" s="127"/>
      <c r="C443" s="126"/>
      <c r="I443" s="127"/>
    </row>
    <row r="444" spans="1:9">
      <c r="A444" s="126"/>
      <c r="B444" s="127"/>
      <c r="C444" s="126"/>
      <c r="I444" s="127"/>
    </row>
    <row r="445" spans="1:9">
      <c r="A445" s="126"/>
      <c r="B445" s="127"/>
      <c r="C445" s="126"/>
      <c r="I445" s="127"/>
    </row>
    <row r="446" spans="1:9">
      <c r="A446" s="126"/>
      <c r="B446" s="127"/>
      <c r="C446" s="126"/>
      <c r="I446" s="127"/>
    </row>
    <row r="447" spans="1:9">
      <c r="A447" s="126"/>
      <c r="B447" s="127"/>
      <c r="C447" s="126"/>
      <c r="I447" s="127"/>
    </row>
    <row r="448" spans="1:9">
      <c r="A448" s="126"/>
      <c r="B448" s="127"/>
      <c r="C448" s="126"/>
      <c r="I448" s="127"/>
    </row>
    <row r="449" spans="1:9">
      <c r="A449" s="126"/>
      <c r="B449" s="127"/>
      <c r="C449" s="126"/>
      <c r="I449" s="127"/>
    </row>
    <row r="450" spans="1:9">
      <c r="A450" s="126"/>
      <c r="B450" s="127"/>
      <c r="C450" s="126"/>
      <c r="I450" s="127"/>
    </row>
    <row r="451" spans="1:9">
      <c r="A451" s="126"/>
      <c r="B451" s="127"/>
      <c r="C451" s="126"/>
      <c r="I451" s="127"/>
    </row>
    <row r="452" spans="1:9">
      <c r="A452" s="126"/>
      <c r="B452" s="127"/>
      <c r="C452" s="126"/>
      <c r="I452" s="127"/>
    </row>
    <row r="453" spans="1:9">
      <c r="A453" s="126"/>
      <c r="B453" s="127"/>
      <c r="C453" s="126"/>
      <c r="I453" s="127"/>
    </row>
    <row r="454" spans="1:9">
      <c r="A454" s="126"/>
      <c r="B454" s="127"/>
      <c r="C454" s="126"/>
      <c r="I454" s="127"/>
    </row>
    <row r="455" spans="1:9">
      <c r="A455" s="126"/>
      <c r="B455" s="127"/>
      <c r="C455" s="126"/>
      <c r="I455" s="127"/>
    </row>
    <row r="456" spans="1:9">
      <c r="A456" s="126"/>
      <c r="B456" s="127"/>
      <c r="C456" s="126"/>
      <c r="I456" s="127"/>
    </row>
    <row r="457" spans="1:9">
      <c r="A457" s="126"/>
      <c r="B457" s="127"/>
      <c r="C457" s="126"/>
      <c r="I457" s="127"/>
    </row>
    <row r="458" spans="1:9">
      <c r="A458" s="126"/>
      <c r="B458" s="127"/>
      <c r="C458" s="126"/>
      <c r="I458" s="127"/>
    </row>
    <row r="459" spans="1:9">
      <c r="A459" s="126"/>
      <c r="B459" s="127"/>
      <c r="C459" s="126"/>
      <c r="I459" s="127"/>
    </row>
    <row r="460" spans="1:9">
      <c r="A460" s="126"/>
      <c r="B460" s="127"/>
      <c r="C460" s="126"/>
      <c r="I460" s="127"/>
    </row>
    <row r="461" spans="1:9" ht="13.5" thickBot="1">
      <c r="A461" s="128"/>
      <c r="B461" s="124"/>
      <c r="C461" s="128"/>
      <c r="D461" s="123"/>
      <c r="E461" s="123"/>
      <c r="F461" s="123"/>
      <c r="G461" s="123"/>
      <c r="H461" s="123"/>
      <c r="I461" s="124"/>
    </row>
    <row r="462" spans="1:9" ht="13.5" thickBot="1"/>
    <row r="463" spans="1:9" ht="13.5" thickBot="1">
      <c r="A463" s="526" t="s">
        <v>65</v>
      </c>
      <c r="B463" s="530"/>
      <c r="C463" s="526" t="s">
        <v>89</v>
      </c>
      <c r="D463" s="527"/>
      <c r="E463" s="527"/>
      <c r="F463" s="527"/>
      <c r="G463" s="527"/>
      <c r="H463" s="527"/>
      <c r="I463" s="530"/>
    </row>
    <row r="464" spans="1:9">
      <c r="A464" s="125"/>
      <c r="B464" s="122"/>
      <c r="C464" s="125"/>
      <c r="D464" s="121"/>
      <c r="E464" s="121"/>
      <c r="F464" s="121"/>
      <c r="G464" s="121"/>
      <c r="H464" s="121"/>
      <c r="I464" s="122"/>
    </row>
    <row r="465" spans="1:9">
      <c r="A465" s="126"/>
      <c r="B465" s="127"/>
      <c r="C465" s="126"/>
      <c r="I465" s="127"/>
    </row>
    <row r="466" spans="1:9">
      <c r="A466" s="126"/>
      <c r="B466" s="127"/>
      <c r="C466" s="126"/>
      <c r="I466" s="127"/>
    </row>
    <row r="467" spans="1:9">
      <c r="A467" s="126"/>
      <c r="B467" s="127"/>
      <c r="C467" s="126"/>
      <c r="I467" s="127"/>
    </row>
    <row r="468" spans="1:9">
      <c r="A468" s="126"/>
      <c r="B468" s="127"/>
      <c r="C468" s="126"/>
      <c r="I468" s="127"/>
    </row>
    <row r="469" spans="1:9">
      <c r="A469" s="126"/>
      <c r="B469" s="127"/>
      <c r="C469" s="126"/>
      <c r="I469" s="127"/>
    </row>
    <row r="470" spans="1:9">
      <c r="A470" s="126"/>
      <c r="B470" s="127"/>
      <c r="C470" s="126"/>
      <c r="I470" s="127"/>
    </row>
    <row r="471" spans="1:9">
      <c r="A471" s="126"/>
      <c r="B471" s="127"/>
      <c r="C471" s="126"/>
      <c r="I471" s="127"/>
    </row>
    <row r="472" spans="1:9">
      <c r="A472" s="126"/>
      <c r="B472" s="127"/>
      <c r="C472" s="126"/>
      <c r="I472" s="127"/>
    </row>
    <row r="473" spans="1:9">
      <c r="A473" s="126"/>
      <c r="B473" s="127"/>
      <c r="C473" s="126"/>
      <c r="I473" s="127"/>
    </row>
    <row r="474" spans="1:9">
      <c r="A474" s="126"/>
      <c r="B474" s="127"/>
      <c r="C474" s="126"/>
      <c r="I474" s="127"/>
    </row>
    <row r="475" spans="1:9">
      <c r="A475" s="126"/>
      <c r="B475" s="127"/>
      <c r="C475" s="126"/>
      <c r="I475" s="127"/>
    </row>
    <row r="476" spans="1:9">
      <c r="A476" s="126"/>
      <c r="B476" s="127"/>
      <c r="C476" s="126"/>
      <c r="I476" s="127"/>
    </row>
    <row r="477" spans="1:9">
      <c r="A477" s="126"/>
      <c r="B477" s="127"/>
      <c r="C477" s="126"/>
      <c r="I477" s="127"/>
    </row>
    <row r="478" spans="1:9">
      <c r="A478" s="126"/>
      <c r="B478" s="127"/>
      <c r="C478" s="126"/>
      <c r="I478" s="127"/>
    </row>
    <row r="479" spans="1:9">
      <c r="A479" s="126"/>
      <c r="B479" s="127"/>
      <c r="C479" s="126"/>
      <c r="I479" s="127"/>
    </row>
    <row r="480" spans="1:9">
      <c r="A480" s="126"/>
      <c r="B480" s="127"/>
      <c r="C480" s="126"/>
      <c r="I480" s="127"/>
    </row>
    <row r="481" spans="1:9">
      <c r="A481" s="126"/>
      <c r="B481" s="127"/>
      <c r="C481" s="126"/>
      <c r="I481" s="127"/>
    </row>
    <row r="482" spans="1:9">
      <c r="A482" s="126"/>
      <c r="B482" s="127"/>
      <c r="C482" s="126"/>
      <c r="I482" s="127"/>
    </row>
    <row r="483" spans="1:9">
      <c r="A483" s="126"/>
      <c r="B483" s="127"/>
      <c r="C483" s="126"/>
      <c r="I483" s="127"/>
    </row>
    <row r="484" spans="1:9">
      <c r="A484" s="126"/>
      <c r="B484" s="127"/>
      <c r="C484" s="126"/>
      <c r="I484" s="127"/>
    </row>
    <row r="485" spans="1:9" ht="13.5" thickBot="1">
      <c r="A485" s="128"/>
      <c r="B485" s="124"/>
      <c r="C485" s="128"/>
      <c r="D485" s="123"/>
      <c r="E485" s="123"/>
      <c r="F485" s="123"/>
      <c r="G485" s="123"/>
      <c r="H485" s="123"/>
      <c r="I485" s="124"/>
    </row>
    <row r="486" spans="1:9">
      <c r="B486" s="129" t="s">
        <v>66</v>
      </c>
    </row>
    <row r="487" spans="1:9" ht="21">
      <c r="A487" s="545" t="s">
        <v>60</v>
      </c>
      <c r="B487" s="545"/>
      <c r="C487" s="545"/>
      <c r="D487" s="545"/>
      <c r="E487" s="545"/>
      <c r="F487" s="545"/>
      <c r="G487" s="545"/>
      <c r="H487" s="545"/>
      <c r="I487" s="545"/>
    </row>
    <row r="488" spans="1:9" ht="21.5" thickBot="1">
      <c r="A488" s="117"/>
      <c r="B488" s="117"/>
      <c r="C488" s="117"/>
      <c r="D488" s="117"/>
      <c r="E488" s="117"/>
      <c r="F488" s="117"/>
      <c r="G488" s="117"/>
      <c r="H488" s="117"/>
      <c r="I488" s="117"/>
    </row>
    <row r="489" spans="1:9" ht="22.5" customHeight="1" thickBot="1">
      <c r="A489" s="526" t="s">
        <v>61</v>
      </c>
      <c r="B489" s="527"/>
      <c r="C489" s="528">
        <f>基本情報!B3</f>
        <v>0</v>
      </c>
      <c r="D489" s="531"/>
      <c r="E489" s="130" t="s">
        <v>43</v>
      </c>
      <c r="F489" s="527" t="s">
        <v>80</v>
      </c>
      <c r="G489" s="527"/>
      <c r="H489" s="528">
        <f>基本情報!B7</f>
        <v>0</v>
      </c>
      <c r="I489" s="529"/>
    </row>
    <row r="490" spans="1:9">
      <c r="A490" s="535" t="s">
        <v>64</v>
      </c>
      <c r="B490" s="536"/>
      <c r="C490" s="539" t="s">
        <v>81</v>
      </c>
      <c r="D490" s="540"/>
      <c r="E490" s="541"/>
      <c r="F490" s="546" t="s">
        <v>82</v>
      </c>
      <c r="G490" s="546"/>
      <c r="H490" s="532" t="s">
        <v>83</v>
      </c>
      <c r="I490" s="533"/>
    </row>
    <row r="491" spans="1:9" ht="13.5" thickBot="1">
      <c r="A491" s="537"/>
      <c r="B491" s="538"/>
      <c r="C491" s="542"/>
      <c r="D491" s="543"/>
      <c r="E491" s="544"/>
      <c r="F491" s="547"/>
      <c r="G491" s="547"/>
      <c r="H491" s="534"/>
      <c r="I491" s="534"/>
    </row>
    <row r="492" spans="1:9">
      <c r="A492" s="535" t="s">
        <v>84</v>
      </c>
      <c r="B492" s="536"/>
      <c r="C492" s="539" t="s">
        <v>85</v>
      </c>
      <c r="D492" s="540"/>
      <c r="E492" s="540"/>
      <c r="F492" s="540"/>
      <c r="G492" s="540"/>
      <c r="H492" s="540"/>
      <c r="I492" s="541"/>
    </row>
    <row r="493" spans="1:9" ht="13.5" thickBot="1">
      <c r="A493" s="537"/>
      <c r="B493" s="538"/>
      <c r="C493" s="542"/>
      <c r="D493" s="543"/>
      <c r="E493" s="543"/>
      <c r="F493" s="543"/>
      <c r="G493" s="543"/>
      <c r="H493" s="543"/>
      <c r="I493" s="544"/>
    </row>
    <row r="494" spans="1:9" ht="13.5" thickBot="1">
      <c r="A494" s="526" t="s">
        <v>86</v>
      </c>
      <c r="B494" s="530"/>
      <c r="C494" s="526" t="s">
        <v>87</v>
      </c>
      <c r="D494" s="527"/>
      <c r="E494" s="527"/>
      <c r="F494" s="527"/>
      <c r="G494" s="527"/>
      <c r="H494" s="527"/>
      <c r="I494" s="530"/>
    </row>
    <row r="495" spans="1:9">
      <c r="A495" s="126"/>
      <c r="B495" s="127"/>
      <c r="C495" s="126"/>
      <c r="I495" s="127"/>
    </row>
    <row r="496" spans="1:9">
      <c r="A496" s="126"/>
      <c r="B496" s="127"/>
      <c r="C496" s="126"/>
      <c r="I496" s="127"/>
    </row>
    <row r="497" spans="1:9">
      <c r="A497" s="126"/>
      <c r="B497" s="127"/>
      <c r="C497" s="126"/>
      <c r="I497" s="127"/>
    </row>
    <row r="498" spans="1:9">
      <c r="A498" s="126"/>
      <c r="B498" s="127"/>
      <c r="C498" s="126"/>
      <c r="I498" s="127"/>
    </row>
    <row r="499" spans="1:9">
      <c r="A499" s="126"/>
      <c r="B499" s="127"/>
      <c r="C499" s="126"/>
      <c r="I499" s="127"/>
    </row>
    <row r="500" spans="1:9">
      <c r="A500" s="126"/>
      <c r="B500" s="127"/>
      <c r="C500" s="126"/>
      <c r="I500" s="127"/>
    </row>
    <row r="501" spans="1:9">
      <c r="A501" s="126"/>
      <c r="B501" s="127"/>
      <c r="C501" s="126"/>
      <c r="I501" s="127"/>
    </row>
    <row r="502" spans="1:9">
      <c r="A502" s="126"/>
      <c r="B502" s="127"/>
      <c r="C502" s="126"/>
      <c r="I502" s="127"/>
    </row>
    <row r="503" spans="1:9">
      <c r="A503" s="126"/>
      <c r="B503" s="127"/>
      <c r="C503" s="126"/>
      <c r="I503" s="127"/>
    </row>
    <row r="504" spans="1:9">
      <c r="A504" s="126"/>
      <c r="B504" s="127"/>
      <c r="C504" s="126"/>
      <c r="I504" s="127"/>
    </row>
    <row r="505" spans="1:9">
      <c r="A505" s="126"/>
      <c r="B505" s="127"/>
      <c r="C505" s="126"/>
      <c r="I505" s="127"/>
    </row>
    <row r="506" spans="1:9">
      <c r="A506" s="126"/>
      <c r="B506" s="127"/>
      <c r="C506" s="126"/>
      <c r="I506" s="127"/>
    </row>
    <row r="507" spans="1:9">
      <c r="A507" s="126"/>
      <c r="B507" s="127"/>
      <c r="C507" s="126"/>
      <c r="I507" s="127"/>
    </row>
    <row r="508" spans="1:9">
      <c r="A508" s="126"/>
      <c r="B508" s="127"/>
      <c r="C508" s="126"/>
      <c r="I508" s="127"/>
    </row>
    <row r="509" spans="1:9">
      <c r="A509" s="126"/>
      <c r="B509" s="127"/>
      <c r="C509" s="126"/>
      <c r="I509" s="127"/>
    </row>
    <row r="510" spans="1:9">
      <c r="A510" s="126"/>
      <c r="B510" s="127"/>
      <c r="C510" s="126"/>
      <c r="I510" s="127"/>
    </row>
    <row r="511" spans="1:9">
      <c r="A511" s="126"/>
      <c r="B511" s="127"/>
      <c r="C511" s="126"/>
      <c r="I511" s="127"/>
    </row>
    <row r="512" spans="1:9">
      <c r="A512" s="126"/>
      <c r="B512" s="127"/>
      <c r="C512" s="126"/>
      <c r="I512" s="127"/>
    </row>
    <row r="513" spans="1:9">
      <c r="A513" s="126"/>
      <c r="B513" s="127"/>
      <c r="C513" s="126"/>
      <c r="I513" s="127"/>
    </row>
    <row r="514" spans="1:9">
      <c r="A514" s="126"/>
      <c r="B514" s="127"/>
      <c r="C514" s="126"/>
      <c r="I514" s="127"/>
    </row>
    <row r="515" spans="1:9" ht="13.5" thickBot="1">
      <c r="A515" s="128"/>
      <c r="B515" s="124"/>
      <c r="C515" s="128"/>
      <c r="D515" s="123"/>
      <c r="E515" s="123"/>
      <c r="F515" s="123"/>
      <c r="G515" s="123"/>
      <c r="H515" s="123"/>
      <c r="I515" s="124"/>
    </row>
    <row r="516" spans="1:9" ht="13.5" thickBot="1"/>
    <row r="517" spans="1:9" ht="13.5" thickBot="1">
      <c r="A517" s="526" t="s">
        <v>65</v>
      </c>
      <c r="B517" s="530"/>
      <c r="C517" s="526" t="s">
        <v>89</v>
      </c>
      <c r="D517" s="527"/>
      <c r="E517" s="527"/>
      <c r="F517" s="527"/>
      <c r="G517" s="527"/>
      <c r="H517" s="527"/>
      <c r="I517" s="530"/>
    </row>
    <row r="518" spans="1:9">
      <c r="A518" s="125"/>
      <c r="B518" s="122"/>
      <c r="C518" s="125"/>
      <c r="D518" s="121"/>
      <c r="E518" s="121"/>
      <c r="F518" s="121"/>
      <c r="G518" s="121"/>
      <c r="H518" s="121"/>
      <c r="I518" s="122"/>
    </row>
    <row r="519" spans="1:9">
      <c r="A519" s="126"/>
      <c r="B519" s="127"/>
      <c r="C519" s="126"/>
      <c r="I519" s="127"/>
    </row>
    <row r="520" spans="1:9">
      <c r="A520" s="126"/>
      <c r="B520" s="127"/>
      <c r="C520" s="126"/>
      <c r="I520" s="127"/>
    </row>
    <row r="521" spans="1:9">
      <c r="A521" s="126"/>
      <c r="B521" s="127"/>
      <c r="C521" s="126"/>
      <c r="I521" s="127"/>
    </row>
    <row r="522" spans="1:9">
      <c r="A522" s="126"/>
      <c r="B522" s="127"/>
      <c r="C522" s="126"/>
      <c r="I522" s="127"/>
    </row>
    <row r="523" spans="1:9">
      <c r="A523" s="126"/>
      <c r="B523" s="127"/>
      <c r="C523" s="126"/>
      <c r="I523" s="127"/>
    </row>
    <row r="524" spans="1:9">
      <c r="A524" s="126"/>
      <c r="B524" s="127"/>
      <c r="C524" s="126"/>
      <c r="I524" s="127"/>
    </row>
    <row r="525" spans="1:9">
      <c r="A525" s="126"/>
      <c r="B525" s="127"/>
      <c r="C525" s="126"/>
      <c r="I525" s="127"/>
    </row>
    <row r="526" spans="1:9">
      <c r="A526" s="126"/>
      <c r="B526" s="127"/>
      <c r="C526" s="126"/>
      <c r="I526" s="127"/>
    </row>
    <row r="527" spans="1:9">
      <c r="A527" s="126"/>
      <c r="B527" s="127"/>
      <c r="C527" s="126"/>
      <c r="I527" s="127"/>
    </row>
    <row r="528" spans="1:9">
      <c r="A528" s="126"/>
      <c r="B528" s="127"/>
      <c r="C528" s="126"/>
      <c r="I528" s="127"/>
    </row>
    <row r="529" spans="1:9">
      <c r="A529" s="126"/>
      <c r="B529" s="127"/>
      <c r="C529" s="126"/>
      <c r="I529" s="127"/>
    </row>
    <row r="530" spans="1:9">
      <c r="A530" s="126"/>
      <c r="B530" s="127"/>
      <c r="C530" s="126"/>
      <c r="I530" s="127"/>
    </row>
    <row r="531" spans="1:9">
      <c r="A531" s="126"/>
      <c r="B531" s="127"/>
      <c r="C531" s="126"/>
      <c r="I531" s="127"/>
    </row>
    <row r="532" spans="1:9">
      <c r="A532" s="126"/>
      <c r="B532" s="127"/>
      <c r="C532" s="126"/>
      <c r="I532" s="127"/>
    </row>
    <row r="533" spans="1:9">
      <c r="A533" s="126"/>
      <c r="B533" s="127"/>
      <c r="C533" s="126"/>
      <c r="I533" s="127"/>
    </row>
    <row r="534" spans="1:9">
      <c r="A534" s="126"/>
      <c r="B534" s="127"/>
      <c r="C534" s="126"/>
      <c r="I534" s="127"/>
    </row>
    <row r="535" spans="1:9">
      <c r="A535" s="126"/>
      <c r="B535" s="127"/>
      <c r="C535" s="126"/>
      <c r="I535" s="127"/>
    </row>
    <row r="536" spans="1:9">
      <c r="A536" s="126"/>
      <c r="B536" s="127"/>
      <c r="C536" s="126"/>
      <c r="I536" s="127"/>
    </row>
    <row r="537" spans="1:9">
      <c r="A537" s="126"/>
      <c r="B537" s="127"/>
      <c r="C537" s="126"/>
      <c r="I537" s="127"/>
    </row>
    <row r="538" spans="1:9">
      <c r="A538" s="126"/>
      <c r="B538" s="127"/>
      <c r="C538" s="126"/>
      <c r="I538" s="127"/>
    </row>
    <row r="539" spans="1:9" ht="13.5" thickBot="1">
      <c r="A539" s="128"/>
      <c r="B539" s="124"/>
      <c r="C539" s="128"/>
      <c r="D539" s="123"/>
      <c r="E539" s="123"/>
      <c r="F539" s="123"/>
      <c r="G539" s="123"/>
      <c r="H539" s="123"/>
      <c r="I539" s="124"/>
    </row>
    <row r="540" spans="1:9">
      <c r="B540" s="129" t="s">
        <v>66</v>
      </c>
    </row>
  </sheetData>
  <mergeCells count="150">
    <mergeCell ref="A436:B437"/>
    <mergeCell ref="A438:B439"/>
    <mergeCell ref="C386:I386"/>
    <mergeCell ref="A440:B440"/>
    <mergeCell ref="C440:I440"/>
    <mergeCell ref="C436:E437"/>
    <mergeCell ref="F436:G437"/>
    <mergeCell ref="H436:I437"/>
    <mergeCell ref="A517:B517"/>
    <mergeCell ref="C517:I517"/>
    <mergeCell ref="A463:B463"/>
    <mergeCell ref="C463:I463"/>
    <mergeCell ref="C490:E491"/>
    <mergeCell ref="F490:G491"/>
    <mergeCell ref="H490:I491"/>
    <mergeCell ref="A492:B493"/>
    <mergeCell ref="A490:B491"/>
    <mergeCell ref="A487:I487"/>
    <mergeCell ref="A494:B494"/>
    <mergeCell ref="C494:I494"/>
    <mergeCell ref="C492:I493"/>
    <mergeCell ref="A489:B489"/>
    <mergeCell ref="F489:G489"/>
    <mergeCell ref="H489:I489"/>
    <mergeCell ref="C489:D489"/>
    <mergeCell ref="A276:B277"/>
    <mergeCell ref="C276:I277"/>
    <mergeCell ref="A278:B278"/>
    <mergeCell ref="C274:E275"/>
    <mergeCell ref="F274:G275"/>
    <mergeCell ref="H274:I275"/>
    <mergeCell ref="A327:B327"/>
    <mergeCell ref="F327:G327"/>
    <mergeCell ref="H327:I327"/>
    <mergeCell ref="C327:D327"/>
    <mergeCell ref="A325:I325"/>
    <mergeCell ref="A328:B329"/>
    <mergeCell ref="C328:E329"/>
    <mergeCell ref="F328:G329"/>
    <mergeCell ref="A382:B383"/>
    <mergeCell ref="A409:B409"/>
    <mergeCell ref="C409:I409"/>
    <mergeCell ref="C435:D435"/>
    <mergeCell ref="C355:I355"/>
    <mergeCell ref="A379:I379"/>
    <mergeCell ref="A381:B381"/>
    <mergeCell ref="F381:G381"/>
    <mergeCell ref="H381:I381"/>
    <mergeCell ref="A139:B139"/>
    <mergeCell ref="C139:I139"/>
    <mergeCell ref="A163:I163"/>
    <mergeCell ref="A165:B165"/>
    <mergeCell ref="F165:G165"/>
    <mergeCell ref="H165:I165"/>
    <mergeCell ref="C165:D165"/>
    <mergeCell ref="A168:B169"/>
    <mergeCell ref="C168:I169"/>
    <mergeCell ref="C166:E167"/>
    <mergeCell ref="F166:G167"/>
    <mergeCell ref="H166:I167"/>
    <mergeCell ref="A1:I1"/>
    <mergeCell ref="A3:B3"/>
    <mergeCell ref="F3:G3"/>
    <mergeCell ref="H3:I3"/>
    <mergeCell ref="A4:B5"/>
    <mergeCell ref="C3:D3"/>
    <mergeCell ref="C4:E5"/>
    <mergeCell ref="F4:G5"/>
    <mergeCell ref="H4:I5"/>
    <mergeCell ref="A6:B7"/>
    <mergeCell ref="C6:I7"/>
    <mergeCell ref="C58:E59"/>
    <mergeCell ref="F58:G59"/>
    <mergeCell ref="H58:I59"/>
    <mergeCell ref="A31:B31"/>
    <mergeCell ref="C31:I31"/>
    <mergeCell ref="A55:I55"/>
    <mergeCell ref="A8:B8"/>
    <mergeCell ref="C8:I8"/>
    <mergeCell ref="A332:B332"/>
    <mergeCell ref="C332:I332"/>
    <mergeCell ref="A386:B386"/>
    <mergeCell ref="A170:B170"/>
    <mergeCell ref="C170:I170"/>
    <mergeCell ref="A224:B224"/>
    <mergeCell ref="A166:B167"/>
    <mergeCell ref="A193:B193"/>
    <mergeCell ref="C193:I193"/>
    <mergeCell ref="A217:I217"/>
    <mergeCell ref="A219:B219"/>
    <mergeCell ref="F219:G219"/>
    <mergeCell ref="H219:I219"/>
    <mergeCell ref="A220:B221"/>
    <mergeCell ref="C219:D219"/>
    <mergeCell ref="C220:E221"/>
    <mergeCell ref="F220:G221"/>
    <mergeCell ref="H220:I221"/>
    <mergeCell ref="A222:B223"/>
    <mergeCell ref="C222:I223"/>
    <mergeCell ref="C224:I224"/>
    <mergeCell ref="C381:D381"/>
    <mergeCell ref="A384:B385"/>
    <mergeCell ref="C111:D111"/>
    <mergeCell ref="C112:E113"/>
    <mergeCell ref="F112:G113"/>
    <mergeCell ref="A247:B247"/>
    <mergeCell ref="C247:I247"/>
    <mergeCell ref="A271:I271"/>
    <mergeCell ref="C438:I439"/>
    <mergeCell ref="H328:I329"/>
    <mergeCell ref="A330:B331"/>
    <mergeCell ref="C330:I331"/>
    <mergeCell ref="C382:E383"/>
    <mergeCell ref="F382:G383"/>
    <mergeCell ref="H382:I383"/>
    <mergeCell ref="A433:I433"/>
    <mergeCell ref="A355:B355"/>
    <mergeCell ref="C384:I385"/>
    <mergeCell ref="A273:B273"/>
    <mergeCell ref="F273:G273"/>
    <mergeCell ref="H273:I273"/>
    <mergeCell ref="C273:D273"/>
    <mergeCell ref="A274:B275"/>
    <mergeCell ref="A301:B301"/>
    <mergeCell ref="C301:I301"/>
    <mergeCell ref="C278:I278"/>
    <mergeCell ref="A435:B435"/>
    <mergeCell ref="F435:G435"/>
    <mergeCell ref="H435:I435"/>
    <mergeCell ref="A116:B116"/>
    <mergeCell ref="C116:I116"/>
    <mergeCell ref="A57:B57"/>
    <mergeCell ref="F57:G57"/>
    <mergeCell ref="H57:I57"/>
    <mergeCell ref="C57:D57"/>
    <mergeCell ref="H112:I113"/>
    <mergeCell ref="A114:B115"/>
    <mergeCell ref="C114:I115"/>
    <mergeCell ref="A58:B59"/>
    <mergeCell ref="A85:B85"/>
    <mergeCell ref="C85:I85"/>
    <mergeCell ref="A109:I109"/>
    <mergeCell ref="A60:B61"/>
    <mergeCell ref="C60:I61"/>
    <mergeCell ref="A62:B62"/>
    <mergeCell ref="C62:I62"/>
    <mergeCell ref="A111:B111"/>
    <mergeCell ref="F111:G111"/>
    <mergeCell ref="H111:I111"/>
    <mergeCell ref="A112:B113"/>
  </mergeCells>
  <phoneticPr fontId="3"/>
  <pageMargins left="0.7" right="0.7" top="0.75" bottom="0.75" header="0.3" footer="0.3"/>
  <pageSetup paperSize="9" orientation="portrait" r:id="rId1"/>
  <rowBreaks count="9" manualBreakCount="9">
    <brk id="54" max="8" man="1"/>
    <brk id="108" max="8" man="1"/>
    <brk id="162" max="8" man="1"/>
    <brk id="216" max="8" man="1"/>
    <brk id="270" max="8" man="1"/>
    <brk id="324" max="8" man="1"/>
    <brk id="378" max="8" man="1"/>
    <brk id="432" max="8" man="1"/>
    <brk id="486" max="7"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7865-C5D3-4264-8109-37FA5315F5DD}">
  <sheetPr>
    <tabColor rgb="FF92D050"/>
  </sheetPr>
  <dimension ref="A2:BQ77"/>
  <sheetViews>
    <sheetView zoomScale="80" zoomScaleNormal="80" workbookViewId="0">
      <selection activeCell="CA35" sqref="CA35"/>
    </sheetView>
  </sheetViews>
  <sheetFormatPr defaultRowHeight="13"/>
  <cols>
    <col min="1" max="62" width="2.1796875" style="5" customWidth="1"/>
    <col min="63" max="69" width="8.81640625" style="5"/>
  </cols>
  <sheetData>
    <row r="2" spans="4:57">
      <c r="D2"/>
    </row>
    <row r="4" spans="4:57">
      <c r="BE4" s="232"/>
    </row>
    <row r="16" spans="4:57">
      <c r="F16" s="390"/>
      <c r="G16" s="390"/>
      <c r="H16" s="390"/>
      <c r="I16" s="390"/>
      <c r="J16" s="390"/>
      <c r="K16" s="390"/>
      <c r="L16" s="390"/>
      <c r="M16" s="390"/>
      <c r="N16" s="390"/>
      <c r="O16" s="390"/>
      <c r="P16" s="390"/>
      <c r="Q16" s="390"/>
      <c r="R16" s="390"/>
      <c r="S16" s="390"/>
    </row>
    <row r="17" spans="6:22">
      <c r="F17" s="390"/>
      <c r="G17" s="390"/>
      <c r="H17" s="390"/>
      <c r="I17" s="390"/>
      <c r="J17" s="390"/>
      <c r="K17" s="390"/>
      <c r="L17" s="390"/>
      <c r="M17" s="390"/>
      <c r="N17" s="390"/>
      <c r="O17" s="390"/>
      <c r="P17" s="390"/>
      <c r="Q17" s="390"/>
      <c r="R17" s="390"/>
      <c r="S17" s="390"/>
      <c r="U17" s="230"/>
      <c r="V17" s="230"/>
    </row>
    <row r="18" spans="6:22">
      <c r="F18" s="390"/>
      <c r="G18" s="390"/>
      <c r="H18" s="390"/>
      <c r="I18" s="390"/>
      <c r="J18" s="390"/>
      <c r="K18" s="390"/>
      <c r="L18" s="390"/>
      <c r="M18" s="390"/>
      <c r="N18" s="390"/>
      <c r="O18" s="390"/>
      <c r="P18" s="390"/>
      <c r="Q18" s="390"/>
      <c r="R18" s="390"/>
      <c r="S18" s="390"/>
      <c r="U18" s="230"/>
      <c r="V18" s="230"/>
    </row>
    <row r="19" spans="6:22">
      <c r="F19" s="390"/>
      <c r="G19" s="390"/>
      <c r="H19" s="390"/>
      <c r="I19" s="390"/>
      <c r="J19" s="390"/>
      <c r="K19" s="390"/>
      <c r="L19" s="390"/>
      <c r="M19" s="390"/>
      <c r="N19" s="390"/>
      <c r="O19" s="390"/>
      <c r="P19" s="390"/>
      <c r="Q19" s="390"/>
      <c r="R19" s="390"/>
      <c r="S19" s="390"/>
    </row>
    <row r="20" spans="6:22">
      <c r="F20" s="390"/>
      <c r="G20" s="390"/>
      <c r="H20" s="390"/>
      <c r="I20" s="390"/>
      <c r="J20" s="390"/>
      <c r="K20" s="390"/>
      <c r="L20" s="390"/>
      <c r="M20" s="390"/>
      <c r="N20" s="390"/>
      <c r="O20" s="390"/>
      <c r="P20" s="390"/>
      <c r="Q20" s="390"/>
      <c r="R20" s="390"/>
      <c r="S20" s="390"/>
    </row>
    <row r="21" spans="6:22">
      <c r="F21" s="390"/>
      <c r="G21" s="390"/>
      <c r="H21" s="390"/>
      <c r="I21" s="390"/>
      <c r="J21" s="390"/>
      <c r="K21" s="390"/>
      <c r="L21" s="390"/>
      <c r="M21" s="390"/>
      <c r="N21" s="390"/>
      <c r="O21" s="390"/>
      <c r="P21" s="390"/>
      <c r="Q21" s="390"/>
      <c r="R21" s="390"/>
      <c r="S21" s="390"/>
    </row>
    <row r="22" spans="6:22">
      <c r="F22" s="390"/>
      <c r="G22" s="390"/>
      <c r="H22" s="390"/>
      <c r="I22" s="390"/>
      <c r="J22" s="390"/>
      <c r="K22" s="390"/>
      <c r="L22" s="390"/>
      <c r="M22" s="390"/>
      <c r="N22" s="390"/>
      <c r="O22" s="390"/>
      <c r="P22" s="390"/>
      <c r="Q22" s="390"/>
      <c r="R22" s="390"/>
      <c r="S22" s="390"/>
    </row>
    <row r="23" spans="6:22">
      <c r="F23" s="390"/>
      <c r="G23" s="390"/>
      <c r="H23" s="390"/>
      <c r="I23" s="390"/>
      <c r="J23" s="390"/>
      <c r="K23" s="390"/>
      <c r="L23" s="390"/>
      <c r="M23" s="390"/>
      <c r="N23" s="390"/>
      <c r="O23" s="390"/>
      <c r="P23" s="390"/>
      <c r="Q23" s="390"/>
      <c r="R23" s="390"/>
      <c r="S23" s="390"/>
    </row>
    <row r="34" spans="1:59" ht="13.5" thickBot="1">
      <c r="A34" s="231"/>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1"/>
      <c r="AN34" s="231"/>
      <c r="AO34" s="231"/>
      <c r="AP34" s="231"/>
      <c r="AQ34" s="231"/>
      <c r="AR34" s="231"/>
      <c r="AS34" s="231"/>
      <c r="AT34" s="231"/>
      <c r="AU34" s="231"/>
      <c r="AV34" s="231"/>
      <c r="AW34" s="231"/>
      <c r="AX34" s="231"/>
      <c r="AY34" s="231"/>
      <c r="AZ34" s="231"/>
      <c r="BA34" s="231"/>
      <c r="BB34" s="231"/>
      <c r="BC34" s="231"/>
      <c r="BD34" s="231"/>
      <c r="BE34" s="231"/>
      <c r="BF34" s="231"/>
      <c r="BG34" s="231"/>
    </row>
    <row r="35" spans="1:59" ht="13.5" thickTop="1">
      <c r="A35" s="578"/>
      <c r="B35" s="579"/>
      <c r="C35" s="579"/>
      <c r="D35" s="579"/>
      <c r="E35" s="579"/>
      <c r="F35" s="579"/>
      <c r="G35" s="579"/>
      <c r="H35" s="579"/>
      <c r="I35" s="579"/>
      <c r="J35" s="579"/>
      <c r="K35" s="579"/>
      <c r="L35" s="580"/>
      <c r="M35" s="581" t="s">
        <v>337</v>
      </c>
      <c r="N35" s="515"/>
      <c r="O35" s="515"/>
      <c r="P35" s="515"/>
      <c r="Q35" s="582"/>
      <c r="R35" s="581" t="s">
        <v>338</v>
      </c>
      <c r="S35" s="515"/>
      <c r="T35" s="515"/>
      <c r="U35" s="515"/>
      <c r="V35" s="582"/>
      <c r="W35" s="586" t="s">
        <v>346</v>
      </c>
      <c r="X35" s="587"/>
      <c r="Y35" s="587"/>
      <c r="Z35" s="588">
        <f ca="1">NOW()</f>
        <v>46209.477907754597</v>
      </c>
      <c r="AA35" s="588"/>
      <c r="AB35" s="588"/>
      <c r="AC35" s="588"/>
      <c r="AD35" s="588"/>
      <c r="AE35" s="588"/>
      <c r="AF35" s="588"/>
      <c r="AG35" s="589"/>
      <c r="AH35" s="548" t="s">
        <v>339</v>
      </c>
      <c r="AI35" s="549"/>
      <c r="AJ35" s="549"/>
      <c r="AK35" s="549"/>
      <c r="AL35" s="549"/>
      <c r="AM35" s="549"/>
      <c r="AN35" s="549"/>
      <c r="AO35" s="549"/>
      <c r="AP35" s="549"/>
      <c r="AQ35" s="549"/>
      <c r="AR35" s="549"/>
      <c r="AS35" s="549"/>
      <c r="AT35" s="549"/>
      <c r="AU35" s="549"/>
      <c r="AV35" s="549"/>
      <c r="AW35" s="549"/>
      <c r="AX35" s="550"/>
      <c r="AY35" s="550"/>
      <c r="AZ35" s="550"/>
      <c r="BA35" s="550"/>
      <c r="BB35" s="550"/>
      <c r="BC35" s="550"/>
      <c r="BD35" s="550"/>
      <c r="BE35" s="550"/>
      <c r="BF35" s="550"/>
      <c r="BG35" s="551"/>
    </row>
    <row r="36" spans="1:59">
      <c r="A36" s="556">
        <f>基本情報!B3</f>
        <v>0</v>
      </c>
      <c r="B36" s="557"/>
      <c r="C36" s="557"/>
      <c r="D36" s="557"/>
      <c r="E36" s="557"/>
      <c r="F36" s="557"/>
      <c r="G36" s="557"/>
      <c r="H36" s="557"/>
      <c r="I36" s="557"/>
      <c r="J36" s="557" t="s">
        <v>345</v>
      </c>
      <c r="K36" s="557"/>
      <c r="L36" s="560"/>
      <c r="M36" s="583"/>
      <c r="N36" s="584"/>
      <c r="O36" s="584"/>
      <c r="P36" s="584"/>
      <c r="Q36" s="585"/>
      <c r="R36" s="583"/>
      <c r="S36" s="584"/>
      <c r="T36" s="584"/>
      <c r="U36" s="584"/>
      <c r="V36" s="585"/>
      <c r="W36" s="562" t="s">
        <v>347</v>
      </c>
      <c r="X36" s="562"/>
      <c r="Y36" s="562"/>
      <c r="Z36" s="562"/>
      <c r="AA36" s="562"/>
      <c r="AB36" s="562"/>
      <c r="AC36" s="562"/>
      <c r="AD36" s="562"/>
      <c r="AE36" s="562"/>
      <c r="AF36" s="562"/>
      <c r="AG36" s="563"/>
      <c r="AH36" s="548"/>
      <c r="AI36" s="549"/>
      <c r="AJ36" s="549"/>
      <c r="AK36" s="549"/>
      <c r="AL36" s="549"/>
      <c r="AM36" s="549"/>
      <c r="AN36" s="549"/>
      <c r="AO36" s="549"/>
      <c r="AP36" s="549"/>
      <c r="AQ36" s="549"/>
      <c r="AR36" s="549"/>
      <c r="AS36" s="549"/>
      <c r="AT36" s="549"/>
      <c r="AU36" s="549"/>
      <c r="AV36" s="549"/>
      <c r="AW36" s="549"/>
      <c r="AX36" s="550"/>
      <c r="AY36" s="550"/>
      <c r="AZ36" s="550"/>
      <c r="BA36" s="550"/>
      <c r="BB36" s="550"/>
      <c r="BC36" s="550"/>
      <c r="BD36" s="550"/>
      <c r="BE36" s="550"/>
      <c r="BF36" s="550"/>
      <c r="BG36" s="551"/>
    </row>
    <row r="37" spans="1:59">
      <c r="A37" s="556"/>
      <c r="B37" s="557"/>
      <c r="C37" s="557"/>
      <c r="D37" s="557"/>
      <c r="E37" s="557"/>
      <c r="F37" s="557"/>
      <c r="G37" s="557"/>
      <c r="H37" s="557"/>
      <c r="I37" s="557"/>
      <c r="J37" s="557"/>
      <c r="K37" s="557"/>
      <c r="L37" s="560"/>
      <c r="M37" s="564" t="s">
        <v>340</v>
      </c>
      <c r="N37" s="565"/>
      <c r="O37" s="565"/>
      <c r="P37" s="565"/>
      <c r="Q37" s="566"/>
      <c r="R37" s="570"/>
      <c r="S37" s="571"/>
      <c r="T37" s="571"/>
      <c r="U37" s="571"/>
      <c r="V37" s="572"/>
      <c r="W37" s="562" t="s">
        <v>347</v>
      </c>
      <c r="X37" s="562"/>
      <c r="Y37" s="562"/>
      <c r="Z37" s="562"/>
      <c r="AA37" s="562"/>
      <c r="AB37" s="562"/>
      <c r="AC37" s="562"/>
      <c r="AD37" s="562"/>
      <c r="AE37" s="562"/>
      <c r="AF37" s="562"/>
      <c r="AG37" s="563"/>
      <c r="AH37" s="548"/>
      <c r="AI37" s="549"/>
      <c r="AJ37" s="549"/>
      <c r="AK37" s="549"/>
      <c r="AL37" s="549"/>
      <c r="AM37" s="549"/>
      <c r="AN37" s="549"/>
      <c r="AO37" s="549"/>
      <c r="AP37" s="549"/>
      <c r="AQ37" s="549"/>
      <c r="AR37" s="549"/>
      <c r="AS37" s="549"/>
      <c r="AT37" s="549"/>
      <c r="AU37" s="549"/>
      <c r="AV37" s="549"/>
      <c r="AW37" s="549"/>
      <c r="AX37" s="550"/>
      <c r="AY37" s="550"/>
      <c r="AZ37" s="550"/>
      <c r="BA37" s="550"/>
      <c r="BB37" s="550"/>
      <c r="BC37" s="550"/>
      <c r="BD37" s="550"/>
      <c r="BE37" s="550"/>
      <c r="BF37" s="550"/>
      <c r="BG37" s="551"/>
    </row>
    <row r="38" spans="1:59" ht="13.5" thickBot="1">
      <c r="A38" s="558"/>
      <c r="B38" s="559"/>
      <c r="C38" s="559"/>
      <c r="D38" s="559"/>
      <c r="E38" s="559"/>
      <c r="F38" s="559"/>
      <c r="G38" s="559"/>
      <c r="H38" s="559"/>
      <c r="I38" s="559"/>
      <c r="J38" s="559"/>
      <c r="K38" s="559"/>
      <c r="L38" s="561"/>
      <c r="M38" s="567"/>
      <c r="N38" s="568"/>
      <c r="O38" s="568"/>
      <c r="P38" s="568"/>
      <c r="Q38" s="569"/>
      <c r="R38" s="573"/>
      <c r="S38" s="574"/>
      <c r="T38" s="574"/>
      <c r="U38" s="574"/>
      <c r="V38" s="575"/>
      <c r="W38" s="576" t="s">
        <v>347</v>
      </c>
      <c r="X38" s="576"/>
      <c r="Y38" s="576"/>
      <c r="Z38" s="576"/>
      <c r="AA38" s="576"/>
      <c r="AB38" s="576"/>
      <c r="AC38" s="576"/>
      <c r="AD38" s="576"/>
      <c r="AE38" s="576"/>
      <c r="AF38" s="576"/>
      <c r="AG38" s="577"/>
      <c r="AH38" s="552"/>
      <c r="AI38" s="553"/>
      <c r="AJ38" s="553"/>
      <c r="AK38" s="553"/>
      <c r="AL38" s="553"/>
      <c r="AM38" s="553"/>
      <c r="AN38" s="553"/>
      <c r="AO38" s="553"/>
      <c r="AP38" s="553"/>
      <c r="AQ38" s="553"/>
      <c r="AR38" s="553"/>
      <c r="AS38" s="553"/>
      <c r="AT38" s="553"/>
      <c r="AU38" s="553"/>
      <c r="AV38" s="553"/>
      <c r="AW38" s="553"/>
      <c r="AX38" s="554"/>
      <c r="AY38" s="554"/>
      <c r="AZ38" s="554"/>
      <c r="BA38" s="554"/>
      <c r="BB38" s="554"/>
      <c r="BC38" s="554"/>
      <c r="BD38" s="554"/>
      <c r="BE38" s="554"/>
      <c r="BF38" s="554"/>
      <c r="BG38" s="555"/>
    </row>
    <row r="39" spans="1:59" ht="13.5" thickTop="1">
      <c r="A39" s="4"/>
      <c r="B39" s="4"/>
      <c r="C39" s="4"/>
      <c r="D39" s="4"/>
      <c r="E39" s="4"/>
      <c r="F39" s="4"/>
      <c r="G39" s="4"/>
      <c r="H39" s="4"/>
      <c r="I39" s="4"/>
      <c r="J39" s="4"/>
      <c r="K39" s="4"/>
      <c r="L39" s="4"/>
      <c r="M39" s="72"/>
      <c r="N39" s="72"/>
      <c r="O39" s="72"/>
      <c r="P39" s="72"/>
      <c r="Q39" s="72"/>
      <c r="R39" s="232"/>
      <c r="S39" s="232"/>
      <c r="T39" s="232"/>
      <c r="U39" s="232"/>
      <c r="V39" s="232"/>
      <c r="W39" s="233"/>
      <c r="X39" s="233"/>
      <c r="Y39" s="233"/>
      <c r="Z39" s="233"/>
      <c r="AA39" s="233"/>
      <c r="AB39" s="233"/>
      <c r="AC39" s="233"/>
      <c r="AD39" s="233"/>
      <c r="AE39" s="233"/>
      <c r="AF39" s="233"/>
      <c r="AG39" s="233"/>
      <c r="AH39" s="235"/>
      <c r="AI39" s="235"/>
      <c r="AJ39" s="235"/>
      <c r="AK39" s="235"/>
      <c r="AL39" s="235"/>
      <c r="AM39" s="235"/>
      <c r="AN39" s="235"/>
      <c r="AO39" s="235"/>
      <c r="AP39" s="235"/>
      <c r="AQ39" s="235"/>
      <c r="AR39" s="235"/>
      <c r="AS39" s="235"/>
      <c r="AT39" s="235"/>
      <c r="AU39" s="235"/>
      <c r="AV39" s="235"/>
      <c r="AW39" s="236"/>
      <c r="AX39" s="236"/>
      <c r="AY39" s="236"/>
      <c r="AZ39" s="236"/>
      <c r="BA39" s="236"/>
      <c r="BB39" s="236"/>
      <c r="BC39" s="236"/>
      <c r="BD39" s="236"/>
      <c r="BE39" s="236"/>
      <c r="BF39" s="236"/>
      <c r="BG39" s="234"/>
    </row>
    <row r="40" spans="1:59">
      <c r="A40" s="4"/>
      <c r="B40" s="4"/>
      <c r="C40" s="4"/>
      <c r="D40" s="4"/>
      <c r="E40" s="4"/>
      <c r="F40" s="4"/>
      <c r="G40" s="4"/>
      <c r="H40" s="4"/>
      <c r="I40" s="4"/>
      <c r="J40" s="4"/>
      <c r="K40" s="4"/>
      <c r="L40" s="4"/>
      <c r="M40" s="72"/>
      <c r="N40" s="72"/>
      <c r="O40" s="72"/>
      <c r="P40" s="72"/>
      <c r="Q40" s="72"/>
      <c r="R40" s="232"/>
      <c r="S40" s="232"/>
      <c r="T40" s="232"/>
      <c r="U40" s="232"/>
      <c r="V40" s="232"/>
      <c r="W40" s="233"/>
      <c r="X40" s="233"/>
      <c r="Y40" s="233"/>
      <c r="Z40" s="233"/>
      <c r="AA40" s="233"/>
      <c r="AB40" s="233"/>
      <c r="AC40" s="233"/>
      <c r="AD40" s="233"/>
      <c r="AE40" s="233"/>
      <c r="AF40" s="233"/>
      <c r="AG40" s="233"/>
      <c r="AH40" s="235"/>
      <c r="AI40" s="235"/>
      <c r="AJ40" s="235"/>
      <c r="AK40" s="235"/>
      <c r="AL40" s="235"/>
      <c r="AM40" s="235"/>
      <c r="AN40" s="235"/>
      <c r="AO40" s="235"/>
      <c r="AP40" s="235"/>
      <c r="AQ40" s="235"/>
      <c r="AR40" s="235"/>
      <c r="AS40" s="235"/>
      <c r="AT40" s="235"/>
      <c r="AU40" s="235"/>
      <c r="AV40" s="235"/>
      <c r="AW40" s="236"/>
      <c r="AX40" s="236"/>
      <c r="AY40" s="236"/>
      <c r="AZ40" s="236"/>
      <c r="BA40" s="236"/>
      <c r="BB40" s="236"/>
      <c r="BC40" s="236"/>
      <c r="BD40" s="236"/>
      <c r="BE40" s="236"/>
      <c r="BF40" s="236"/>
      <c r="BG40" s="234"/>
    </row>
    <row r="41" spans="1:59">
      <c r="A41" s="4"/>
      <c r="B41" s="4"/>
      <c r="C41" s="4"/>
      <c r="D41" s="4"/>
      <c r="E41" s="4"/>
      <c r="F41" s="4"/>
      <c r="G41" s="4"/>
      <c r="H41" s="4"/>
      <c r="I41" s="4"/>
      <c r="J41" s="4"/>
      <c r="K41" s="4"/>
      <c r="L41" s="4"/>
      <c r="M41" s="72"/>
      <c r="N41" s="72"/>
      <c r="O41" s="72"/>
      <c r="P41" s="72"/>
      <c r="Q41" s="72"/>
      <c r="R41" s="232"/>
      <c r="S41" s="232"/>
      <c r="T41" s="232"/>
      <c r="U41" s="232"/>
      <c r="V41" s="232"/>
      <c r="W41" s="233"/>
      <c r="X41" s="233"/>
      <c r="Y41" s="233"/>
      <c r="Z41" s="233"/>
      <c r="AA41" s="233"/>
      <c r="AB41" s="233"/>
      <c r="AC41" s="233"/>
      <c r="AD41" s="233"/>
      <c r="AE41" s="233"/>
      <c r="AF41" s="233"/>
      <c r="AG41" s="233"/>
      <c r="AH41" s="235"/>
      <c r="AI41" s="235"/>
      <c r="AJ41" s="235"/>
      <c r="AK41" s="235"/>
      <c r="AL41" s="235"/>
      <c r="AM41" s="235"/>
      <c r="AN41" s="235"/>
      <c r="AO41" s="235"/>
      <c r="AP41" s="235"/>
      <c r="AQ41" s="235"/>
      <c r="AR41" s="235"/>
      <c r="AS41" s="235"/>
      <c r="AT41" s="235"/>
      <c r="AU41" s="235"/>
      <c r="AV41" s="235"/>
      <c r="AW41" s="236"/>
      <c r="AX41" s="236"/>
      <c r="AY41" s="236"/>
      <c r="AZ41" s="236"/>
      <c r="BA41" s="236"/>
      <c r="BB41" s="236"/>
      <c r="BC41" s="236"/>
      <c r="BD41" s="236"/>
      <c r="BE41" s="236"/>
      <c r="BF41" s="236"/>
      <c r="BG41" s="234"/>
    </row>
    <row r="42" spans="1:59">
      <c r="A42" s="4"/>
      <c r="B42" s="4"/>
      <c r="C42" s="4"/>
      <c r="D42" s="4"/>
      <c r="E42" s="4"/>
      <c r="F42" s="4"/>
      <c r="G42" s="4"/>
      <c r="H42" s="4"/>
      <c r="I42" s="4"/>
      <c r="J42" s="4"/>
      <c r="K42" s="4"/>
      <c r="L42" s="4"/>
      <c r="M42" s="72"/>
      <c r="N42" s="72"/>
      <c r="O42" s="72"/>
      <c r="P42" s="72"/>
      <c r="Q42" s="72"/>
      <c r="R42" s="232"/>
      <c r="S42" s="232"/>
      <c r="T42" s="232"/>
      <c r="U42" s="232"/>
      <c r="V42" s="232"/>
      <c r="W42" s="233"/>
      <c r="X42" s="233"/>
      <c r="Y42" s="233"/>
      <c r="Z42" s="233"/>
      <c r="AA42" s="233"/>
      <c r="AB42" s="233"/>
      <c r="AC42" s="233"/>
      <c r="AD42" s="233"/>
      <c r="AE42" s="233"/>
      <c r="AF42" s="233"/>
      <c r="AG42" s="233"/>
      <c r="AH42" s="235"/>
      <c r="AI42" s="235"/>
      <c r="AJ42" s="235"/>
      <c r="AK42" s="235"/>
      <c r="AL42" s="235"/>
      <c r="AM42" s="235"/>
      <c r="AN42" s="235"/>
      <c r="AO42" s="235"/>
      <c r="AP42" s="235"/>
      <c r="AQ42" s="235"/>
      <c r="AR42" s="235"/>
      <c r="AS42" s="235"/>
      <c r="AT42" s="235"/>
      <c r="AU42" s="235"/>
      <c r="AV42" s="235"/>
      <c r="AW42" s="236"/>
      <c r="AX42" s="236"/>
      <c r="AY42" s="236"/>
      <c r="AZ42" s="236"/>
      <c r="BA42" s="236"/>
      <c r="BB42" s="236"/>
      <c r="BC42" s="236"/>
      <c r="BD42" s="236"/>
      <c r="BE42" s="236"/>
      <c r="BF42" s="236"/>
      <c r="BG42" s="234"/>
    </row>
    <row r="43" spans="1:59">
      <c r="A43" s="4"/>
      <c r="B43" s="4"/>
      <c r="C43" s="4"/>
      <c r="D43" s="4"/>
      <c r="E43" s="4"/>
      <c r="F43" s="4"/>
      <c r="G43" s="4"/>
      <c r="H43" s="4"/>
      <c r="I43" s="4"/>
      <c r="J43" s="4"/>
      <c r="K43" s="4"/>
      <c r="L43" s="4"/>
      <c r="M43" s="72"/>
      <c r="N43" s="72"/>
      <c r="O43" s="72"/>
      <c r="P43" s="72"/>
      <c r="Q43" s="72"/>
      <c r="R43" s="232"/>
      <c r="S43" s="232"/>
      <c r="T43" s="232"/>
      <c r="U43" s="232"/>
      <c r="V43" s="232"/>
      <c r="W43" s="233"/>
      <c r="X43" s="233"/>
      <c r="Y43" s="233"/>
      <c r="Z43" s="233"/>
      <c r="AA43" s="233"/>
      <c r="AB43" s="233"/>
      <c r="AC43" s="233"/>
      <c r="AD43" s="233"/>
      <c r="AE43" s="233"/>
      <c r="AF43" s="233"/>
      <c r="AG43" s="233"/>
      <c r="AH43" s="235"/>
      <c r="AI43" s="235"/>
      <c r="AJ43" s="235"/>
      <c r="AK43" s="235"/>
      <c r="AL43" s="235"/>
      <c r="AM43" s="235"/>
      <c r="AN43" s="235"/>
      <c r="AO43" s="235"/>
      <c r="AP43" s="235"/>
      <c r="AQ43" s="235"/>
      <c r="AR43" s="235"/>
      <c r="AS43" s="235"/>
      <c r="AT43" s="235"/>
      <c r="AU43" s="235"/>
      <c r="AV43" s="235"/>
      <c r="AW43" s="236"/>
      <c r="AX43" s="236"/>
      <c r="AY43" s="236"/>
      <c r="AZ43" s="236"/>
      <c r="BA43" s="236"/>
      <c r="BB43" s="236"/>
      <c r="BC43" s="236"/>
      <c r="BD43" s="236"/>
      <c r="BE43" s="236"/>
      <c r="BF43" s="236"/>
      <c r="BG43" s="234"/>
    </row>
    <row r="44" spans="1:59">
      <c r="A44" s="4"/>
      <c r="B44" s="4"/>
      <c r="C44" s="4"/>
      <c r="D44" s="4"/>
      <c r="E44" s="4"/>
      <c r="F44" s="4"/>
      <c r="G44" s="4"/>
      <c r="H44" s="4"/>
      <c r="I44" s="4"/>
      <c r="J44" s="4"/>
      <c r="K44" s="4"/>
      <c r="L44" s="4"/>
      <c r="M44" s="72"/>
      <c r="N44" s="72"/>
      <c r="O44" s="72"/>
      <c r="P44" s="72"/>
      <c r="Q44" s="72"/>
      <c r="R44" s="232"/>
      <c r="S44" s="232"/>
      <c r="T44" s="232"/>
      <c r="U44" s="232"/>
      <c r="V44" s="232"/>
      <c r="W44" s="233"/>
      <c r="X44" s="233"/>
      <c r="Y44" s="233"/>
      <c r="Z44" s="233"/>
      <c r="AA44" s="233"/>
      <c r="AB44" s="233"/>
      <c r="AC44" s="233"/>
      <c r="AD44" s="233"/>
      <c r="AE44" s="233"/>
      <c r="AF44" s="233"/>
      <c r="AG44" s="233"/>
      <c r="AH44" s="235"/>
      <c r="AI44" s="235"/>
      <c r="AJ44" s="235"/>
      <c r="AK44" s="235"/>
      <c r="AL44" s="235"/>
      <c r="AM44" s="235"/>
      <c r="AN44" s="235"/>
      <c r="AO44" s="235"/>
      <c r="AP44" s="235"/>
      <c r="AQ44" s="235"/>
      <c r="AR44" s="235"/>
      <c r="AS44" s="235"/>
      <c r="AT44" s="235"/>
      <c r="AU44" s="235"/>
      <c r="AV44" s="235"/>
      <c r="AW44" s="236"/>
      <c r="AX44" s="236"/>
      <c r="AY44" s="236"/>
      <c r="AZ44" s="236"/>
      <c r="BA44" s="236"/>
      <c r="BB44" s="236"/>
      <c r="BC44" s="236"/>
      <c r="BD44" s="236"/>
      <c r="BE44" s="236"/>
      <c r="BF44" s="236"/>
      <c r="BG44" s="234"/>
    </row>
    <row r="45" spans="1:59">
      <c r="A45" s="4"/>
      <c r="B45" s="4"/>
      <c r="C45" s="4"/>
      <c r="D45" s="4"/>
      <c r="E45" s="4"/>
      <c r="F45" s="4"/>
      <c r="G45" s="4"/>
      <c r="H45" s="4"/>
      <c r="I45" s="4"/>
      <c r="J45" s="4"/>
      <c r="K45" s="4"/>
      <c r="L45" s="4"/>
      <c r="M45" s="72"/>
      <c r="N45" s="72"/>
      <c r="O45" s="72"/>
      <c r="P45" s="72"/>
      <c r="Q45" s="72"/>
      <c r="R45" s="232"/>
      <c r="S45" s="232"/>
      <c r="T45" s="232"/>
      <c r="U45" s="232"/>
      <c r="V45" s="232"/>
      <c r="W45" s="233"/>
      <c r="X45" s="233"/>
      <c r="Y45" s="233"/>
      <c r="Z45" s="233"/>
      <c r="AA45" s="233"/>
      <c r="AB45" s="233"/>
      <c r="AC45" s="233"/>
      <c r="AD45" s="233"/>
      <c r="AE45" s="233"/>
      <c r="AF45" s="233"/>
      <c r="AG45" s="233"/>
      <c r="AH45" s="235"/>
      <c r="AI45" s="235"/>
      <c r="AJ45" s="235"/>
      <c r="AK45" s="235"/>
      <c r="AL45" s="235"/>
      <c r="AM45" s="235"/>
      <c r="AN45" s="235"/>
      <c r="AO45" s="235"/>
      <c r="AP45" s="235"/>
      <c r="AQ45" s="235"/>
      <c r="AR45" s="235"/>
      <c r="AS45" s="235"/>
      <c r="AT45" s="235"/>
      <c r="AU45" s="235"/>
      <c r="AV45" s="235"/>
      <c r="AW45" s="236"/>
      <c r="AX45" s="236"/>
      <c r="AY45" s="236"/>
      <c r="AZ45" s="236"/>
      <c r="BA45" s="236"/>
      <c r="BB45" s="236"/>
      <c r="BC45" s="236"/>
      <c r="BD45" s="236"/>
      <c r="BE45" s="236"/>
      <c r="BF45" s="236"/>
      <c r="BG45" s="234"/>
    </row>
    <row r="46" spans="1:59">
      <c r="A46" s="4"/>
      <c r="B46" s="4"/>
      <c r="C46" s="4"/>
      <c r="D46" s="4"/>
      <c r="E46" s="4"/>
      <c r="F46" s="4"/>
      <c r="G46" s="4"/>
      <c r="H46" s="4"/>
      <c r="I46" s="4"/>
      <c r="J46" s="4"/>
      <c r="K46" s="4"/>
      <c r="L46" s="4"/>
      <c r="M46" s="72"/>
      <c r="N46" s="72"/>
      <c r="O46" s="72"/>
      <c r="P46" s="72"/>
      <c r="Q46" s="72"/>
      <c r="R46" s="232"/>
      <c r="S46" s="232"/>
      <c r="T46" s="232"/>
      <c r="U46" s="232"/>
      <c r="V46" s="232"/>
      <c r="W46" s="233"/>
      <c r="X46" s="233"/>
      <c r="Y46" s="233"/>
      <c r="Z46" s="233"/>
      <c r="AA46" s="233"/>
      <c r="AB46" s="233"/>
      <c r="AC46" s="233"/>
      <c r="AD46" s="233"/>
      <c r="AE46" s="233"/>
      <c r="AF46" s="233"/>
      <c r="AG46" s="233"/>
      <c r="AH46" s="235"/>
      <c r="AI46" s="235"/>
      <c r="AJ46" s="235"/>
      <c r="AK46" s="235"/>
      <c r="AL46" s="235"/>
      <c r="AM46" s="235"/>
      <c r="AN46" s="235"/>
      <c r="AO46" s="235"/>
      <c r="AP46" s="235"/>
      <c r="AQ46" s="235"/>
      <c r="AR46" s="235"/>
      <c r="AS46" s="235"/>
      <c r="AT46" s="235"/>
      <c r="AU46" s="235"/>
      <c r="AV46" s="235"/>
      <c r="AW46" s="236"/>
      <c r="AX46" s="236"/>
      <c r="AY46" s="236"/>
      <c r="AZ46" s="236"/>
      <c r="BA46" s="236"/>
      <c r="BB46" s="236"/>
      <c r="BC46" s="236"/>
      <c r="BD46" s="236"/>
      <c r="BE46" s="236"/>
      <c r="BF46" s="236"/>
      <c r="BG46" s="234"/>
    </row>
    <row r="47" spans="1:59">
      <c r="A47" s="4"/>
      <c r="B47" s="4"/>
      <c r="C47" s="4"/>
      <c r="D47" s="4"/>
      <c r="E47" s="4"/>
      <c r="F47" s="4"/>
      <c r="G47" s="4"/>
      <c r="H47" s="4"/>
      <c r="I47" s="4"/>
      <c r="J47" s="4"/>
      <c r="K47" s="4"/>
      <c r="L47" s="4"/>
      <c r="M47" s="72"/>
      <c r="N47" s="72"/>
      <c r="O47" s="72"/>
      <c r="P47" s="72"/>
      <c r="Q47" s="72"/>
      <c r="R47" s="232"/>
      <c r="S47" s="232"/>
      <c r="T47" s="232"/>
      <c r="U47" s="232"/>
      <c r="V47" s="232"/>
      <c r="W47" s="233"/>
      <c r="X47" s="233"/>
      <c r="Y47" s="233"/>
      <c r="Z47" s="233"/>
      <c r="AA47" s="233"/>
      <c r="AB47" s="233"/>
      <c r="AC47" s="233"/>
      <c r="AD47" s="233"/>
      <c r="AE47" s="233"/>
      <c r="AF47" s="233"/>
      <c r="AG47" s="233"/>
      <c r="AH47" s="235"/>
      <c r="AI47" s="235"/>
      <c r="AJ47" s="235"/>
      <c r="AK47" s="235"/>
      <c r="AL47" s="235"/>
      <c r="AM47" s="235"/>
      <c r="AN47" s="235"/>
      <c r="AO47" s="235"/>
      <c r="AP47" s="235"/>
      <c r="AQ47" s="235"/>
      <c r="AR47" s="235"/>
      <c r="AS47" s="235"/>
      <c r="AT47" s="235"/>
      <c r="AU47" s="235"/>
      <c r="AV47" s="235"/>
      <c r="AW47" s="236"/>
      <c r="AX47" s="236"/>
      <c r="AY47" s="236"/>
      <c r="AZ47" s="236"/>
      <c r="BA47" s="236"/>
      <c r="BB47" s="236"/>
      <c r="BC47" s="236"/>
      <c r="BD47" s="236"/>
      <c r="BE47" s="236"/>
      <c r="BF47" s="236"/>
      <c r="BG47" s="234"/>
    </row>
    <row r="48" spans="1:59">
      <c r="A48" s="4"/>
      <c r="B48" s="4"/>
      <c r="C48" s="4"/>
      <c r="D48" s="4"/>
      <c r="E48" s="4"/>
      <c r="F48" s="4"/>
      <c r="G48" s="4"/>
      <c r="H48" s="4"/>
      <c r="I48" s="4"/>
      <c r="J48" s="4"/>
      <c r="K48" s="4"/>
      <c r="L48" s="4"/>
      <c r="M48" s="72"/>
      <c r="N48" s="72"/>
      <c r="O48" s="72"/>
      <c r="P48" s="72"/>
      <c r="Q48" s="72"/>
      <c r="R48" s="232"/>
      <c r="S48" s="232"/>
      <c r="T48" s="232"/>
      <c r="U48" s="232"/>
      <c r="V48" s="232"/>
      <c r="W48" s="233"/>
      <c r="X48" s="233"/>
      <c r="Y48" s="233"/>
      <c r="Z48" s="233"/>
      <c r="AA48" s="233"/>
      <c r="AB48" s="233"/>
      <c r="AC48" s="233"/>
      <c r="AD48" s="233"/>
      <c r="AE48" s="233"/>
      <c r="AF48" s="233"/>
      <c r="AG48" s="233"/>
      <c r="AH48" s="235"/>
      <c r="AI48" s="235"/>
      <c r="AJ48" s="235"/>
      <c r="AK48" s="235"/>
      <c r="AL48" s="235"/>
      <c r="AM48" s="235"/>
      <c r="AN48" s="235"/>
      <c r="AO48" s="235"/>
      <c r="AP48" s="235"/>
      <c r="AQ48" s="235"/>
      <c r="AR48" s="235"/>
      <c r="AS48" s="235"/>
      <c r="AT48" s="235"/>
      <c r="AU48" s="235"/>
      <c r="AV48" s="235"/>
      <c r="AW48" s="236"/>
      <c r="AX48" s="236"/>
      <c r="AY48" s="236"/>
      <c r="AZ48" s="236"/>
      <c r="BA48" s="236"/>
      <c r="BB48" s="236"/>
      <c r="BC48" s="236"/>
      <c r="BD48" s="236"/>
      <c r="BE48" s="236"/>
      <c r="BF48" s="236"/>
      <c r="BG48" s="234"/>
    </row>
    <row r="49" spans="1:59">
      <c r="A49" s="4"/>
      <c r="B49" s="4"/>
      <c r="C49" s="4"/>
      <c r="D49" s="4"/>
      <c r="E49" s="4"/>
      <c r="F49" s="4"/>
      <c r="G49" s="4"/>
      <c r="H49" s="4"/>
      <c r="I49" s="4"/>
      <c r="J49" s="4"/>
      <c r="K49" s="4"/>
      <c r="L49" s="4"/>
      <c r="M49" s="72"/>
      <c r="N49" s="72"/>
      <c r="O49" s="72"/>
      <c r="P49" s="72"/>
      <c r="Q49" s="72"/>
      <c r="R49" s="232"/>
      <c r="S49" s="232"/>
      <c r="T49" s="232"/>
      <c r="U49" s="232"/>
      <c r="V49" s="232"/>
      <c r="W49" s="233"/>
      <c r="X49" s="233"/>
      <c r="Y49" s="233"/>
      <c r="Z49" s="233"/>
      <c r="AA49" s="233"/>
      <c r="AB49" s="233"/>
      <c r="AC49" s="233"/>
      <c r="AD49" s="233"/>
      <c r="AE49" s="233"/>
      <c r="AF49" s="233"/>
      <c r="AG49" s="233"/>
      <c r="AH49" s="235"/>
      <c r="AI49" s="235"/>
      <c r="AJ49" s="235"/>
      <c r="AK49" s="235"/>
      <c r="AL49" s="235"/>
      <c r="AM49" s="235"/>
      <c r="AN49" s="235"/>
      <c r="AO49" s="235"/>
      <c r="AP49" s="235"/>
      <c r="AQ49" s="235"/>
      <c r="AR49" s="235"/>
      <c r="AS49" s="235"/>
      <c r="AT49" s="235"/>
      <c r="AU49" s="235"/>
      <c r="AV49" s="235"/>
      <c r="AW49" s="236"/>
      <c r="AX49" s="236"/>
      <c r="AY49" s="236"/>
      <c r="AZ49" s="236"/>
      <c r="BA49" s="236"/>
      <c r="BB49" s="236"/>
      <c r="BC49" s="236"/>
      <c r="BD49" s="236"/>
      <c r="BE49" s="236"/>
      <c r="BF49" s="236"/>
      <c r="BG49" s="234"/>
    </row>
    <row r="50" spans="1:59">
      <c r="A50" s="4"/>
      <c r="B50" s="4"/>
      <c r="C50" s="4"/>
      <c r="D50" s="4"/>
      <c r="E50" s="4"/>
      <c r="F50" s="4"/>
      <c r="G50" s="4"/>
      <c r="H50" s="4"/>
      <c r="I50" s="4"/>
      <c r="J50" s="4"/>
      <c r="K50" s="4"/>
      <c r="L50" s="4"/>
      <c r="M50" s="72"/>
      <c r="N50" s="72"/>
      <c r="O50" s="72"/>
      <c r="P50" s="72"/>
      <c r="Q50" s="72"/>
      <c r="R50" s="232"/>
      <c r="S50" s="232"/>
      <c r="T50" s="232"/>
      <c r="U50" s="232"/>
      <c r="V50" s="232"/>
      <c r="W50" s="233"/>
      <c r="X50" s="233"/>
      <c r="Y50" s="233"/>
      <c r="Z50" s="233"/>
      <c r="AA50" s="233"/>
      <c r="AB50" s="233"/>
      <c r="AC50" s="233"/>
      <c r="AD50" s="233"/>
      <c r="AE50" s="233"/>
      <c r="AF50" s="233"/>
      <c r="AG50" s="233"/>
      <c r="AH50" s="235"/>
      <c r="AI50" s="235"/>
      <c r="AJ50" s="235"/>
      <c r="AK50" s="235"/>
      <c r="AL50" s="235"/>
      <c r="AM50" s="235"/>
      <c r="AN50" s="235"/>
      <c r="AO50" s="235"/>
      <c r="AP50" s="235"/>
      <c r="AQ50" s="235"/>
      <c r="AR50" s="235"/>
      <c r="AS50" s="235"/>
      <c r="AT50" s="235"/>
      <c r="AU50" s="235"/>
      <c r="AV50" s="235"/>
      <c r="AW50" s="236"/>
      <c r="AX50" s="236"/>
      <c r="AY50" s="236"/>
      <c r="AZ50" s="236"/>
      <c r="BA50" s="236"/>
      <c r="BB50" s="236"/>
      <c r="BC50" s="236"/>
      <c r="BD50" s="236"/>
      <c r="BE50" s="236"/>
      <c r="BF50" s="236"/>
      <c r="BG50" s="234"/>
    </row>
    <row r="51" spans="1:59">
      <c r="A51" s="4"/>
      <c r="B51" s="4"/>
      <c r="C51" s="4"/>
      <c r="D51" s="4"/>
      <c r="E51" s="4"/>
      <c r="F51" s="4"/>
      <c r="G51" s="4"/>
      <c r="H51" s="4"/>
      <c r="I51" s="4"/>
      <c r="J51" s="4"/>
      <c r="K51" s="4"/>
      <c r="L51" s="4"/>
      <c r="M51" s="72"/>
      <c r="N51" s="72"/>
      <c r="O51" s="72"/>
      <c r="P51" s="72"/>
      <c r="Q51" s="72"/>
      <c r="R51" s="232"/>
      <c r="S51" s="232"/>
      <c r="T51" s="232"/>
      <c r="U51" s="232"/>
      <c r="V51" s="232"/>
      <c r="W51" s="233"/>
      <c r="X51" s="233"/>
      <c r="Y51" s="233"/>
      <c r="Z51" s="233"/>
      <c r="AA51" s="233"/>
      <c r="AB51" s="233"/>
      <c r="AC51" s="233"/>
      <c r="AD51" s="233"/>
      <c r="AE51" s="233"/>
      <c r="AF51" s="233"/>
      <c r="AG51" s="233"/>
      <c r="AH51" s="235"/>
      <c r="AI51" s="235"/>
      <c r="AJ51" s="235"/>
      <c r="AK51" s="235"/>
      <c r="AL51" s="235"/>
      <c r="AM51" s="235"/>
      <c r="AN51" s="235"/>
      <c r="AO51" s="235"/>
      <c r="AP51" s="235"/>
      <c r="AQ51" s="235"/>
      <c r="AR51" s="235"/>
      <c r="AS51" s="235"/>
      <c r="AT51" s="235"/>
      <c r="AU51" s="235"/>
      <c r="AV51" s="235"/>
      <c r="AW51" s="236"/>
      <c r="AX51" s="236"/>
      <c r="AY51" s="236"/>
      <c r="AZ51" s="236"/>
      <c r="BA51" s="236"/>
      <c r="BB51" s="236"/>
      <c r="BC51" s="236"/>
      <c r="BD51" s="236"/>
      <c r="BE51" s="236"/>
      <c r="BF51" s="236"/>
      <c r="BG51" s="234"/>
    </row>
    <row r="52" spans="1:59">
      <c r="A52" s="4"/>
      <c r="B52" s="4"/>
      <c r="C52" s="4"/>
      <c r="D52" s="4"/>
      <c r="E52" s="4"/>
      <c r="F52" s="4"/>
      <c r="G52" s="4"/>
      <c r="H52" s="4"/>
      <c r="I52" s="4"/>
      <c r="J52" s="4"/>
      <c r="K52" s="4"/>
      <c r="L52" s="4"/>
      <c r="M52" s="72"/>
      <c r="N52" s="72"/>
      <c r="O52" s="72"/>
      <c r="P52" s="72"/>
      <c r="Q52" s="72"/>
      <c r="R52" s="232"/>
      <c r="S52" s="232"/>
      <c r="T52" s="232"/>
      <c r="U52" s="232"/>
      <c r="V52" s="232"/>
      <c r="W52" s="233"/>
      <c r="X52" s="233"/>
      <c r="Y52" s="233"/>
      <c r="Z52" s="233"/>
      <c r="AA52" s="233"/>
      <c r="AB52" s="233"/>
      <c r="AC52" s="233"/>
      <c r="AD52" s="233"/>
      <c r="AE52" s="233"/>
      <c r="AF52" s="233"/>
      <c r="AG52" s="233"/>
      <c r="AH52" s="235"/>
      <c r="AI52" s="235"/>
      <c r="AJ52" s="235"/>
      <c r="AK52" s="235"/>
      <c r="AL52" s="235"/>
      <c r="AM52" s="235"/>
      <c r="AN52" s="235"/>
      <c r="AO52" s="235"/>
      <c r="AP52" s="235"/>
      <c r="AQ52" s="235"/>
      <c r="AR52" s="235"/>
      <c r="AS52" s="235"/>
      <c r="AT52" s="235"/>
      <c r="AU52" s="235"/>
      <c r="AV52" s="235"/>
      <c r="AW52" s="236"/>
      <c r="AX52" s="236"/>
      <c r="AY52" s="236"/>
      <c r="AZ52" s="236"/>
      <c r="BA52" s="236"/>
      <c r="BB52" s="236"/>
      <c r="BC52" s="236"/>
      <c r="BD52" s="236"/>
      <c r="BE52" s="236"/>
      <c r="BF52" s="236"/>
      <c r="BG52" s="234"/>
    </row>
    <row r="53" spans="1:59">
      <c r="A53" s="4"/>
      <c r="B53" s="4"/>
      <c r="C53" s="4"/>
      <c r="D53" s="4"/>
      <c r="E53" s="4"/>
      <c r="F53" s="4"/>
      <c r="G53" s="4"/>
      <c r="H53" s="4"/>
      <c r="I53" s="4"/>
      <c r="J53" s="4"/>
      <c r="K53" s="4"/>
      <c r="L53" s="4"/>
      <c r="M53" s="72"/>
      <c r="N53" s="72"/>
      <c r="O53" s="72"/>
      <c r="P53" s="72"/>
      <c r="Q53" s="72"/>
      <c r="R53" s="232"/>
      <c r="S53" s="232"/>
      <c r="T53" s="232"/>
      <c r="U53" s="232"/>
      <c r="V53" s="232"/>
      <c r="W53" s="233"/>
      <c r="X53" s="233"/>
      <c r="Y53" s="233"/>
      <c r="Z53" s="233"/>
      <c r="AA53" s="233"/>
      <c r="AB53" s="233"/>
      <c r="AC53" s="233"/>
      <c r="AD53" s="233"/>
      <c r="AE53" s="233"/>
      <c r="AF53" s="233"/>
      <c r="AG53" s="233"/>
      <c r="AH53" s="235"/>
      <c r="AI53" s="235"/>
      <c r="AJ53" s="235"/>
      <c r="AK53" s="235"/>
      <c r="AL53" s="235"/>
      <c r="AM53" s="235"/>
      <c r="AN53" s="235"/>
      <c r="AO53" s="235"/>
      <c r="AP53" s="235"/>
      <c r="AQ53" s="235"/>
      <c r="AR53" s="235"/>
      <c r="AS53" s="235"/>
      <c r="AT53" s="235"/>
      <c r="AU53" s="235"/>
      <c r="AV53" s="235"/>
      <c r="AW53" s="236"/>
      <c r="AX53" s="236"/>
      <c r="AY53" s="236"/>
      <c r="AZ53" s="236"/>
      <c r="BA53" s="236"/>
      <c r="BB53" s="236"/>
      <c r="BC53" s="236"/>
      <c r="BD53" s="236"/>
      <c r="BE53" s="236"/>
      <c r="BF53" s="236"/>
      <c r="BG53" s="234"/>
    </row>
    <row r="54" spans="1:59">
      <c r="A54" s="4"/>
      <c r="B54" s="4"/>
      <c r="C54" s="4"/>
      <c r="D54" s="4"/>
      <c r="E54" s="4"/>
      <c r="F54" s="4"/>
      <c r="G54" s="4"/>
      <c r="H54" s="4"/>
      <c r="I54" s="4"/>
      <c r="J54" s="4"/>
      <c r="K54" s="4"/>
      <c r="L54" s="4"/>
      <c r="M54" s="72"/>
      <c r="N54" s="72"/>
      <c r="O54" s="72"/>
      <c r="P54" s="72"/>
      <c r="Q54" s="72"/>
      <c r="R54" s="232"/>
      <c r="S54" s="232"/>
      <c r="T54" s="232"/>
      <c r="U54" s="232"/>
      <c r="V54" s="232"/>
      <c r="W54" s="233"/>
      <c r="X54" s="233"/>
      <c r="Y54" s="233"/>
      <c r="Z54" s="233"/>
      <c r="AA54" s="233"/>
      <c r="AB54" s="233"/>
      <c r="AC54" s="233"/>
      <c r="AD54" s="233"/>
      <c r="AE54" s="233"/>
      <c r="AF54" s="233"/>
      <c r="AG54" s="233"/>
      <c r="AH54" s="235"/>
      <c r="AI54" s="235"/>
      <c r="AJ54" s="235"/>
      <c r="AK54" s="235"/>
      <c r="AL54" s="235"/>
      <c r="AM54" s="235"/>
      <c r="AN54" s="235"/>
      <c r="AO54" s="235"/>
      <c r="AP54" s="235"/>
      <c r="AQ54" s="235"/>
      <c r="AR54" s="235"/>
      <c r="AS54" s="235"/>
      <c r="AT54" s="235"/>
      <c r="AU54" s="235"/>
      <c r="AV54" s="235"/>
      <c r="AW54" s="236"/>
      <c r="AX54" s="236"/>
      <c r="AY54" s="236"/>
      <c r="AZ54" s="236"/>
      <c r="BA54" s="236"/>
      <c r="BB54" s="236"/>
      <c r="BC54" s="236"/>
      <c r="BD54" s="236"/>
      <c r="BE54" s="236"/>
      <c r="BF54" s="236"/>
      <c r="BG54" s="234"/>
    </row>
    <row r="55" spans="1:59">
      <c r="A55" s="4"/>
      <c r="B55" s="4"/>
      <c r="C55" s="4"/>
      <c r="D55" s="4"/>
      <c r="E55" s="4"/>
      <c r="F55" s="4"/>
      <c r="G55" s="4"/>
      <c r="H55" s="4"/>
      <c r="I55" s="4"/>
      <c r="J55" s="4"/>
      <c r="K55" s="4"/>
      <c r="L55" s="4"/>
      <c r="M55" s="72"/>
      <c r="N55" s="72"/>
      <c r="O55" s="72"/>
      <c r="P55" s="72"/>
      <c r="Q55" s="72"/>
      <c r="R55" s="232"/>
      <c r="S55" s="232"/>
      <c r="T55" s="232"/>
      <c r="U55" s="232"/>
      <c r="V55" s="232"/>
      <c r="W55" s="233"/>
      <c r="X55" s="233"/>
      <c r="Y55" s="233"/>
      <c r="Z55" s="233"/>
      <c r="AA55" s="233"/>
      <c r="AB55" s="233"/>
      <c r="AC55" s="233"/>
      <c r="AD55" s="233"/>
      <c r="AE55" s="233"/>
      <c r="AF55" s="233"/>
      <c r="AG55" s="233"/>
      <c r="AH55" s="235"/>
      <c r="AI55" s="235"/>
      <c r="AJ55" s="235"/>
      <c r="AK55" s="235"/>
      <c r="AL55" s="235"/>
      <c r="AM55" s="235"/>
      <c r="AN55" s="235"/>
      <c r="AO55" s="235"/>
      <c r="AP55" s="235"/>
      <c r="AQ55" s="235"/>
      <c r="AR55" s="235"/>
      <c r="AS55" s="235"/>
      <c r="AT55" s="235"/>
      <c r="AU55" s="235"/>
      <c r="AV55" s="235"/>
      <c r="AW55" s="236"/>
      <c r="AX55" s="236"/>
      <c r="AY55" s="236"/>
      <c r="AZ55" s="236"/>
      <c r="BA55" s="236"/>
      <c r="BB55" s="236"/>
      <c r="BC55" s="236"/>
      <c r="BD55" s="236"/>
      <c r="BE55" s="236"/>
      <c r="BF55" s="236"/>
      <c r="BG55" s="234"/>
    </row>
    <row r="56" spans="1:59">
      <c r="A56" s="4"/>
      <c r="B56" s="4"/>
      <c r="C56" s="4"/>
      <c r="D56" s="4"/>
      <c r="E56" s="4"/>
      <c r="F56" s="4"/>
      <c r="G56" s="4"/>
      <c r="H56" s="4"/>
      <c r="I56" s="4"/>
      <c r="J56" s="4"/>
      <c r="K56" s="4"/>
      <c r="L56" s="4"/>
      <c r="M56" s="72"/>
      <c r="N56" s="72"/>
      <c r="O56" s="72"/>
      <c r="P56" s="72"/>
      <c r="Q56" s="72"/>
      <c r="R56" s="232"/>
      <c r="S56" s="232"/>
      <c r="T56" s="232"/>
      <c r="U56" s="232"/>
      <c r="V56" s="232"/>
      <c r="W56" s="233"/>
      <c r="X56" s="233"/>
      <c r="Y56" s="233"/>
      <c r="Z56" s="233"/>
      <c r="AA56" s="233"/>
      <c r="AB56" s="233"/>
      <c r="AC56" s="233"/>
      <c r="AD56" s="233"/>
      <c r="AE56" s="233"/>
      <c r="AF56" s="233"/>
      <c r="AG56" s="233"/>
      <c r="AH56" s="235"/>
      <c r="AI56" s="235"/>
      <c r="AJ56" s="235"/>
      <c r="AK56" s="235"/>
      <c r="AL56" s="235"/>
      <c r="AM56" s="235"/>
      <c r="AN56" s="235"/>
      <c r="AO56" s="235"/>
      <c r="AP56" s="235"/>
      <c r="AQ56" s="235"/>
      <c r="AR56" s="235"/>
      <c r="AS56" s="235"/>
      <c r="AT56" s="235"/>
      <c r="AU56" s="235"/>
      <c r="AV56" s="235"/>
      <c r="AW56" s="236"/>
      <c r="AX56" s="236"/>
      <c r="AY56" s="236"/>
      <c r="AZ56" s="236"/>
      <c r="BA56" s="236"/>
      <c r="BB56" s="236"/>
      <c r="BC56" s="236"/>
      <c r="BD56" s="236"/>
      <c r="BE56" s="236"/>
      <c r="BF56" s="236"/>
      <c r="BG56" s="234"/>
    </row>
    <row r="57" spans="1:59">
      <c r="A57" s="4"/>
      <c r="B57" s="4"/>
      <c r="C57" s="4"/>
      <c r="D57" s="4"/>
      <c r="E57" s="4"/>
      <c r="F57" s="4"/>
      <c r="G57" s="4"/>
      <c r="H57" s="4"/>
      <c r="I57" s="4"/>
      <c r="J57" s="4"/>
      <c r="K57" s="4"/>
      <c r="L57" s="4"/>
      <c r="M57" s="72"/>
      <c r="N57" s="72"/>
      <c r="O57" s="72"/>
      <c r="P57" s="72"/>
      <c r="Q57" s="72"/>
      <c r="R57" s="232"/>
      <c r="S57" s="232"/>
      <c r="T57" s="232"/>
      <c r="U57" s="232"/>
      <c r="V57" s="232"/>
      <c r="W57" s="233"/>
      <c r="X57" s="233"/>
      <c r="Y57" s="233"/>
      <c r="Z57" s="233"/>
      <c r="AA57" s="233"/>
      <c r="AB57" s="233"/>
      <c r="AC57" s="233"/>
      <c r="AD57" s="233"/>
      <c r="AE57" s="233"/>
      <c r="AF57" s="233"/>
      <c r="AG57" s="233"/>
      <c r="AH57" s="235"/>
      <c r="AI57" s="235"/>
      <c r="AJ57" s="235"/>
      <c r="AK57" s="235"/>
      <c r="AL57" s="235"/>
      <c r="AM57" s="235"/>
      <c r="AN57" s="235"/>
      <c r="AO57" s="235"/>
      <c r="AP57" s="235"/>
      <c r="AQ57" s="235"/>
      <c r="AR57" s="235"/>
      <c r="AS57" s="235"/>
      <c r="AT57" s="235"/>
      <c r="AU57" s="235"/>
      <c r="AV57" s="235"/>
      <c r="AW57" s="236"/>
      <c r="AX57" s="236"/>
      <c r="AY57" s="236"/>
      <c r="AZ57" s="236"/>
      <c r="BA57" s="236"/>
      <c r="BB57" s="236"/>
      <c r="BC57" s="236"/>
      <c r="BD57" s="236"/>
      <c r="BE57" s="236"/>
      <c r="BF57" s="236"/>
      <c r="BG57" s="234"/>
    </row>
    <row r="58" spans="1:59">
      <c r="A58" s="4"/>
      <c r="B58" s="4"/>
      <c r="C58" s="4"/>
      <c r="D58" s="4"/>
      <c r="E58" s="4"/>
      <c r="F58" s="4"/>
      <c r="G58" s="4"/>
      <c r="H58" s="4"/>
      <c r="I58" s="4"/>
      <c r="J58" s="4"/>
      <c r="K58" s="4"/>
      <c r="L58" s="4"/>
      <c r="M58" s="72"/>
      <c r="N58" s="72"/>
      <c r="O58" s="72"/>
      <c r="P58" s="72"/>
      <c r="Q58" s="72"/>
      <c r="R58" s="232"/>
      <c r="S58" s="232"/>
      <c r="T58" s="232"/>
      <c r="U58" s="232"/>
      <c r="V58" s="232"/>
      <c r="W58" s="233"/>
      <c r="X58" s="233"/>
      <c r="Y58" s="233"/>
      <c r="Z58" s="233"/>
      <c r="AA58" s="233"/>
      <c r="AB58" s="233"/>
      <c r="AC58" s="233"/>
      <c r="AD58" s="233"/>
      <c r="AE58" s="233"/>
      <c r="AF58" s="233"/>
      <c r="AG58" s="233"/>
      <c r="AH58" s="235"/>
      <c r="AI58" s="235"/>
      <c r="AJ58" s="235"/>
      <c r="AK58" s="235"/>
      <c r="AL58" s="235"/>
      <c r="AM58" s="235"/>
      <c r="AN58" s="235"/>
      <c r="AO58" s="235"/>
      <c r="AP58" s="235"/>
      <c r="AQ58" s="235"/>
      <c r="AR58" s="235"/>
      <c r="AS58" s="235"/>
      <c r="AT58" s="235"/>
      <c r="AU58" s="235"/>
      <c r="AV58" s="235"/>
      <c r="AW58" s="236"/>
      <c r="AX58" s="236"/>
      <c r="AY58" s="236"/>
      <c r="AZ58" s="236"/>
      <c r="BA58" s="236"/>
      <c r="BB58" s="236"/>
      <c r="BC58" s="236"/>
      <c r="BD58" s="236"/>
      <c r="BE58" s="236"/>
      <c r="BF58" s="236"/>
      <c r="BG58" s="234"/>
    </row>
    <row r="59" spans="1:59">
      <c r="A59" s="4"/>
      <c r="B59" s="4"/>
      <c r="C59" s="4"/>
      <c r="D59" s="4"/>
      <c r="E59" s="4"/>
      <c r="F59" s="4"/>
      <c r="G59" s="4"/>
      <c r="H59" s="4"/>
      <c r="I59" s="4"/>
      <c r="J59" s="4"/>
      <c r="K59" s="4"/>
      <c r="L59" s="4"/>
      <c r="M59" s="72"/>
      <c r="N59" s="72"/>
      <c r="O59" s="72"/>
      <c r="P59" s="72"/>
      <c r="Q59" s="72"/>
      <c r="R59" s="232"/>
      <c r="S59" s="232"/>
      <c r="T59" s="232"/>
      <c r="U59" s="232"/>
      <c r="V59" s="232"/>
      <c r="W59" s="233"/>
      <c r="X59" s="233"/>
      <c r="Y59" s="233"/>
      <c r="Z59" s="233"/>
      <c r="AA59" s="233"/>
      <c r="AB59" s="233"/>
      <c r="AC59" s="233"/>
      <c r="AD59" s="233"/>
      <c r="AE59" s="233"/>
      <c r="AF59" s="233"/>
      <c r="AG59" s="233"/>
      <c r="AH59" s="235"/>
      <c r="AI59" s="235"/>
      <c r="AJ59" s="235"/>
      <c r="AK59" s="235"/>
      <c r="AL59" s="235"/>
      <c r="AM59" s="235"/>
      <c r="AN59" s="235"/>
      <c r="AO59" s="235"/>
      <c r="AP59" s="235"/>
      <c r="AQ59" s="235"/>
      <c r="AR59" s="235"/>
      <c r="AS59" s="235"/>
      <c r="AT59" s="235"/>
      <c r="AU59" s="235"/>
      <c r="AV59" s="235"/>
      <c r="AW59" s="236"/>
      <c r="AX59" s="236"/>
      <c r="AY59" s="236"/>
      <c r="AZ59" s="236"/>
      <c r="BA59" s="236"/>
      <c r="BB59" s="236"/>
      <c r="BC59" s="236"/>
      <c r="BD59" s="236"/>
      <c r="BE59" s="236"/>
      <c r="BF59" s="236"/>
      <c r="BG59" s="234"/>
    </row>
    <row r="60" spans="1:59">
      <c r="A60" s="4"/>
      <c r="B60" s="4"/>
      <c r="C60" s="4"/>
      <c r="D60" s="4"/>
      <c r="E60" s="4"/>
      <c r="F60" s="4"/>
      <c r="G60" s="4"/>
      <c r="H60" s="4"/>
      <c r="I60" s="4"/>
      <c r="J60" s="4"/>
      <c r="K60" s="4"/>
      <c r="L60" s="4"/>
      <c r="M60" s="72"/>
      <c r="N60" s="72"/>
      <c r="O60" s="72"/>
      <c r="P60" s="72"/>
      <c r="Q60" s="72"/>
      <c r="R60" s="232"/>
      <c r="S60" s="232"/>
      <c r="T60" s="232"/>
      <c r="U60" s="232"/>
      <c r="V60" s="232"/>
      <c r="W60" s="233"/>
      <c r="X60" s="233"/>
      <c r="Y60" s="233"/>
      <c r="Z60" s="233"/>
      <c r="AA60" s="233"/>
      <c r="AB60" s="233"/>
      <c r="AC60" s="233"/>
      <c r="AD60" s="233"/>
      <c r="AE60" s="233"/>
      <c r="AF60" s="233"/>
      <c r="AG60" s="233"/>
      <c r="AH60" s="235"/>
      <c r="AI60" s="235"/>
      <c r="AJ60" s="235"/>
      <c r="AK60" s="235"/>
      <c r="AL60" s="235"/>
      <c r="AM60" s="235"/>
      <c r="AN60" s="235"/>
      <c r="AO60" s="235"/>
      <c r="AP60" s="235"/>
      <c r="AQ60" s="235"/>
      <c r="AR60" s="235"/>
      <c r="AS60" s="235"/>
      <c r="AT60" s="235"/>
      <c r="AU60" s="235"/>
      <c r="AV60" s="235"/>
      <c r="AW60" s="236"/>
      <c r="AX60" s="236"/>
      <c r="AY60" s="236"/>
      <c r="AZ60" s="236"/>
      <c r="BA60" s="236"/>
      <c r="BB60" s="236"/>
      <c r="BC60" s="236"/>
      <c r="BD60" s="236"/>
      <c r="BE60" s="236"/>
      <c r="BF60" s="236"/>
      <c r="BG60" s="234"/>
    </row>
    <row r="61" spans="1:59">
      <c r="A61" s="4"/>
      <c r="B61" s="4"/>
      <c r="C61" s="4"/>
      <c r="D61" s="4"/>
      <c r="E61" s="4"/>
      <c r="F61" s="4"/>
      <c r="G61" s="4"/>
      <c r="H61" s="4"/>
      <c r="I61" s="4"/>
      <c r="J61" s="4"/>
      <c r="K61" s="4"/>
      <c r="L61" s="4"/>
      <c r="M61" s="72"/>
      <c r="N61" s="72"/>
      <c r="O61" s="72"/>
      <c r="P61" s="72"/>
      <c r="Q61" s="72"/>
      <c r="R61" s="232"/>
      <c r="S61" s="232"/>
      <c r="T61" s="232"/>
      <c r="U61" s="232"/>
      <c r="V61" s="232"/>
      <c r="W61" s="233"/>
      <c r="X61" s="233"/>
      <c r="Y61" s="233"/>
      <c r="Z61" s="233"/>
      <c r="AA61" s="233"/>
      <c r="AB61" s="233"/>
      <c r="AC61" s="233"/>
      <c r="AD61" s="233"/>
      <c r="AE61" s="233"/>
      <c r="AF61" s="233"/>
      <c r="AG61" s="233"/>
      <c r="AH61" s="235"/>
      <c r="AI61" s="235"/>
      <c r="AJ61" s="235"/>
      <c r="AK61" s="235"/>
      <c r="AL61" s="235"/>
      <c r="AM61" s="235"/>
      <c r="AN61" s="235"/>
      <c r="AO61" s="235"/>
      <c r="AP61" s="235"/>
      <c r="AQ61" s="235"/>
      <c r="AR61" s="235"/>
      <c r="AS61" s="235"/>
      <c r="AT61" s="235"/>
      <c r="AU61" s="235"/>
      <c r="AV61" s="235"/>
      <c r="AW61" s="236"/>
      <c r="AX61" s="236"/>
      <c r="AY61" s="236"/>
      <c r="AZ61" s="236"/>
      <c r="BA61" s="236"/>
      <c r="BB61" s="236"/>
      <c r="BC61" s="236"/>
      <c r="BD61" s="236"/>
      <c r="BE61" s="236"/>
      <c r="BF61" s="236"/>
      <c r="BG61" s="234"/>
    </row>
    <row r="62" spans="1:59">
      <c r="A62" s="4"/>
      <c r="B62" s="4"/>
      <c r="C62" s="4"/>
      <c r="D62" s="4"/>
      <c r="E62" s="4"/>
      <c r="F62" s="4"/>
      <c r="G62" s="4"/>
      <c r="H62" s="4"/>
      <c r="I62" s="4"/>
      <c r="J62" s="4"/>
      <c r="K62" s="4"/>
      <c r="L62" s="4"/>
      <c r="M62" s="72"/>
      <c r="N62" s="72"/>
      <c r="O62" s="72"/>
      <c r="P62" s="72"/>
      <c r="Q62" s="72"/>
      <c r="R62" s="232"/>
      <c r="S62" s="232"/>
      <c r="T62" s="232"/>
      <c r="U62" s="232"/>
      <c r="V62" s="232"/>
      <c r="W62" s="233"/>
      <c r="X62" s="233"/>
      <c r="Y62" s="233"/>
      <c r="Z62" s="233"/>
      <c r="AA62" s="233"/>
      <c r="AB62" s="233"/>
      <c r="AC62" s="233"/>
      <c r="AD62" s="233"/>
      <c r="AE62" s="233"/>
      <c r="AF62" s="233"/>
      <c r="AG62" s="233"/>
      <c r="AH62" s="235"/>
      <c r="AI62" s="235"/>
      <c r="AJ62" s="235"/>
      <c r="AK62" s="235"/>
      <c r="AL62" s="235"/>
      <c r="AM62" s="235"/>
      <c r="AN62" s="235"/>
      <c r="AO62" s="235"/>
      <c r="AP62" s="235"/>
      <c r="AQ62" s="235"/>
      <c r="AR62" s="235"/>
      <c r="AS62" s="235"/>
      <c r="AT62" s="235"/>
      <c r="AU62" s="235"/>
      <c r="AV62" s="235"/>
      <c r="AW62" s="236"/>
      <c r="AX62" s="236"/>
      <c r="AY62" s="236"/>
      <c r="AZ62" s="236"/>
      <c r="BA62" s="236"/>
      <c r="BB62" s="236"/>
      <c r="BC62" s="236"/>
      <c r="BD62" s="236"/>
      <c r="BE62" s="236"/>
      <c r="BF62" s="236"/>
      <c r="BG62" s="234"/>
    </row>
    <row r="63" spans="1:59">
      <c r="A63" s="4"/>
      <c r="B63" s="4"/>
      <c r="C63" s="4"/>
      <c r="D63" s="4"/>
      <c r="E63" s="4"/>
      <c r="F63" s="4"/>
      <c r="G63" s="4"/>
      <c r="H63" s="4"/>
      <c r="I63" s="4"/>
      <c r="J63" s="4"/>
      <c r="K63" s="4"/>
      <c r="L63" s="4"/>
      <c r="M63" s="72"/>
      <c r="N63" s="72"/>
      <c r="O63" s="72"/>
      <c r="P63" s="72"/>
      <c r="Q63" s="72"/>
      <c r="R63" s="232"/>
      <c r="S63" s="232"/>
      <c r="T63" s="232"/>
      <c r="U63" s="232"/>
      <c r="V63" s="232"/>
      <c r="W63" s="233"/>
      <c r="X63" s="233"/>
      <c r="Y63" s="233"/>
      <c r="Z63" s="233"/>
      <c r="AA63" s="233"/>
      <c r="AB63" s="233"/>
      <c r="AC63" s="233"/>
      <c r="AD63" s="233"/>
      <c r="AE63" s="233"/>
      <c r="AF63" s="233"/>
      <c r="AG63" s="233"/>
      <c r="AH63" s="235"/>
      <c r="AI63" s="235"/>
      <c r="AJ63" s="235"/>
      <c r="AK63" s="235"/>
      <c r="AL63" s="235"/>
      <c r="AM63" s="235"/>
      <c r="AN63" s="235"/>
      <c r="AO63" s="235"/>
      <c r="AP63" s="235"/>
      <c r="AQ63" s="235"/>
      <c r="AR63" s="235"/>
      <c r="AS63" s="235"/>
      <c r="AT63" s="235"/>
      <c r="AU63" s="235"/>
      <c r="AV63" s="235"/>
      <c r="AW63" s="236"/>
      <c r="AX63" s="236"/>
      <c r="AY63" s="236"/>
      <c r="AZ63" s="236"/>
      <c r="BA63" s="236"/>
      <c r="BB63" s="236"/>
      <c r="BC63" s="236"/>
      <c r="BD63" s="236"/>
      <c r="BE63" s="236"/>
      <c r="BF63" s="236"/>
      <c r="BG63" s="234"/>
    </row>
    <row r="64" spans="1:59">
      <c r="A64" s="4"/>
      <c r="B64" s="4"/>
      <c r="C64" s="4"/>
      <c r="D64" s="4"/>
      <c r="E64" s="4"/>
      <c r="F64" s="4"/>
      <c r="G64" s="4"/>
      <c r="H64" s="4"/>
      <c r="I64" s="4"/>
      <c r="J64" s="4"/>
      <c r="K64" s="4"/>
      <c r="L64" s="4"/>
      <c r="M64" s="72"/>
      <c r="N64" s="72"/>
      <c r="O64" s="72"/>
      <c r="P64" s="72"/>
      <c r="Q64" s="72"/>
      <c r="R64" s="232"/>
      <c r="S64" s="232"/>
      <c r="T64" s="232"/>
      <c r="U64" s="232"/>
      <c r="V64" s="232"/>
      <c r="W64" s="233"/>
      <c r="X64" s="233"/>
      <c r="Y64" s="233"/>
      <c r="Z64" s="233"/>
      <c r="AA64" s="233"/>
      <c r="AB64" s="233"/>
      <c r="AC64" s="233"/>
      <c r="AD64" s="233"/>
      <c r="AE64" s="233"/>
      <c r="AF64" s="233"/>
      <c r="AG64" s="233"/>
      <c r="AH64" s="235"/>
      <c r="AI64" s="235"/>
      <c r="AJ64" s="235"/>
      <c r="AK64" s="235"/>
      <c r="AL64" s="235"/>
      <c r="AM64" s="235"/>
      <c r="AN64" s="235"/>
      <c r="AO64" s="235"/>
      <c r="AP64" s="235"/>
      <c r="AQ64" s="235"/>
      <c r="AR64" s="235"/>
      <c r="AS64" s="235"/>
      <c r="AT64" s="235"/>
      <c r="AU64" s="235"/>
      <c r="AV64" s="235"/>
      <c r="AW64" s="236"/>
      <c r="AX64" s="236"/>
      <c r="AY64" s="236"/>
      <c r="AZ64" s="236"/>
      <c r="BA64" s="236"/>
      <c r="BB64" s="236"/>
      <c r="BC64" s="236"/>
      <c r="BD64" s="236"/>
      <c r="BE64" s="236"/>
      <c r="BF64" s="236"/>
      <c r="BG64" s="234"/>
    </row>
    <row r="65" spans="1:59">
      <c r="A65" s="4"/>
      <c r="B65" s="4"/>
      <c r="C65" s="4"/>
      <c r="D65" s="4"/>
      <c r="E65" s="4"/>
      <c r="F65" s="4"/>
      <c r="G65" s="4"/>
      <c r="H65" s="4"/>
      <c r="I65" s="4"/>
      <c r="J65" s="4"/>
      <c r="K65" s="4"/>
      <c r="L65" s="4"/>
      <c r="M65" s="72"/>
      <c r="N65" s="72"/>
      <c r="O65" s="72"/>
      <c r="P65" s="72"/>
      <c r="Q65" s="72"/>
      <c r="R65" s="232"/>
      <c r="S65" s="232"/>
      <c r="T65" s="232"/>
      <c r="U65" s="232"/>
      <c r="V65" s="232"/>
      <c r="W65" s="233"/>
      <c r="X65" s="233"/>
      <c r="Y65" s="233"/>
      <c r="Z65" s="233"/>
      <c r="AA65" s="233"/>
      <c r="AB65" s="233"/>
      <c r="AC65" s="233"/>
      <c r="AD65" s="233"/>
      <c r="AE65" s="233"/>
      <c r="AF65" s="233"/>
      <c r="AG65" s="233"/>
      <c r="AH65" s="235"/>
      <c r="AI65" s="235"/>
      <c r="AJ65" s="235"/>
      <c r="AK65" s="235"/>
      <c r="AL65" s="235"/>
      <c r="AM65" s="235"/>
      <c r="AN65" s="235"/>
      <c r="AO65" s="235"/>
      <c r="AP65" s="235"/>
      <c r="AQ65" s="235"/>
      <c r="AR65" s="235"/>
      <c r="AS65" s="235"/>
      <c r="AT65" s="235"/>
      <c r="AU65" s="235"/>
      <c r="AV65" s="235"/>
      <c r="AW65" s="236"/>
      <c r="AX65" s="236"/>
      <c r="AY65" s="236"/>
      <c r="AZ65" s="236"/>
      <c r="BA65" s="236"/>
      <c r="BB65" s="236"/>
      <c r="BC65" s="236"/>
      <c r="BD65" s="236"/>
      <c r="BE65" s="236"/>
      <c r="BF65" s="236"/>
      <c r="BG65" s="234"/>
    </row>
    <row r="66" spans="1:59">
      <c r="A66" s="4"/>
      <c r="B66" s="4"/>
      <c r="C66" s="4"/>
      <c r="D66" s="4"/>
      <c r="E66" s="4"/>
      <c r="F66" s="4"/>
      <c r="G66" s="4"/>
      <c r="H66" s="4"/>
      <c r="I66" s="4"/>
      <c r="J66" s="4"/>
      <c r="K66" s="4"/>
      <c r="L66" s="4"/>
      <c r="M66" s="72"/>
      <c r="N66" s="72"/>
      <c r="O66" s="72"/>
      <c r="P66" s="72"/>
      <c r="Q66" s="72"/>
      <c r="R66" s="232"/>
      <c r="S66" s="232"/>
      <c r="T66" s="232"/>
      <c r="U66" s="232"/>
      <c r="V66" s="232"/>
      <c r="W66" s="233"/>
      <c r="X66" s="233"/>
      <c r="Y66" s="233"/>
      <c r="Z66" s="233"/>
      <c r="AA66" s="233"/>
      <c r="AB66" s="233"/>
      <c r="AC66" s="233"/>
      <c r="AD66" s="233"/>
      <c r="AE66" s="233"/>
      <c r="AF66" s="233"/>
      <c r="AG66" s="233"/>
      <c r="AH66" s="235"/>
      <c r="AI66" s="235"/>
      <c r="AJ66" s="235"/>
      <c r="AK66" s="235"/>
      <c r="AL66" s="235"/>
      <c r="AM66" s="235"/>
      <c r="AN66" s="235"/>
      <c r="AO66" s="235"/>
      <c r="AP66" s="235"/>
      <c r="AQ66" s="235"/>
      <c r="AR66" s="235"/>
      <c r="AS66" s="235"/>
      <c r="AT66" s="235"/>
      <c r="AU66" s="235"/>
      <c r="AV66" s="235"/>
      <c r="AW66" s="236"/>
      <c r="AX66" s="236"/>
      <c r="AY66" s="236"/>
      <c r="AZ66" s="236"/>
      <c r="BA66" s="236"/>
      <c r="BB66" s="236"/>
      <c r="BC66" s="236"/>
      <c r="BD66" s="236"/>
      <c r="BE66" s="236"/>
      <c r="BF66" s="236"/>
      <c r="BG66" s="234"/>
    </row>
    <row r="67" spans="1:59">
      <c r="A67" s="4"/>
      <c r="B67" s="4"/>
      <c r="C67" s="4"/>
      <c r="D67" s="4"/>
      <c r="E67" s="4"/>
      <c r="F67" s="4"/>
      <c r="G67" s="4"/>
      <c r="H67" s="4"/>
      <c r="I67" s="4"/>
      <c r="J67" s="4"/>
      <c r="K67" s="4"/>
      <c r="L67" s="4"/>
      <c r="M67" s="72"/>
      <c r="N67" s="72"/>
      <c r="O67" s="72"/>
      <c r="P67" s="72"/>
      <c r="Q67" s="72"/>
      <c r="R67" s="232"/>
      <c r="S67" s="232"/>
      <c r="T67" s="232"/>
      <c r="U67" s="232"/>
      <c r="V67" s="232"/>
      <c r="W67" s="233"/>
      <c r="X67" s="233"/>
      <c r="Y67" s="233"/>
      <c r="Z67" s="233"/>
      <c r="AA67" s="233"/>
      <c r="AB67" s="233"/>
      <c r="AC67" s="233"/>
      <c r="AD67" s="233"/>
      <c r="AE67" s="233"/>
      <c r="AF67" s="233"/>
      <c r="AG67" s="233"/>
      <c r="AH67" s="235"/>
      <c r="AI67" s="235"/>
      <c r="AJ67" s="235"/>
      <c r="AK67" s="235"/>
      <c r="AL67" s="235"/>
      <c r="AM67" s="235"/>
      <c r="AN67" s="235"/>
      <c r="AO67" s="235"/>
      <c r="AP67" s="235"/>
      <c r="AQ67" s="235"/>
      <c r="AR67" s="235"/>
      <c r="AS67" s="235"/>
      <c r="AT67" s="235"/>
      <c r="AU67" s="235"/>
      <c r="AV67" s="235"/>
      <c r="AW67" s="236"/>
      <c r="AX67" s="236"/>
      <c r="AY67" s="236"/>
      <c r="AZ67" s="236"/>
      <c r="BA67" s="236"/>
      <c r="BB67" s="236"/>
      <c r="BC67" s="236"/>
      <c r="BD67" s="236"/>
      <c r="BE67" s="236"/>
      <c r="BF67" s="236"/>
      <c r="BG67" s="234"/>
    </row>
    <row r="68" spans="1:59">
      <c r="A68" s="4"/>
      <c r="B68" s="4"/>
      <c r="C68" s="4"/>
      <c r="D68" s="4"/>
      <c r="E68" s="4"/>
      <c r="F68" s="4"/>
      <c r="G68" s="4"/>
      <c r="H68" s="4"/>
      <c r="I68" s="4"/>
      <c r="J68" s="4"/>
      <c r="K68" s="4"/>
      <c r="L68" s="4"/>
      <c r="M68" s="72"/>
      <c r="N68" s="72"/>
      <c r="O68" s="72"/>
      <c r="P68" s="72"/>
      <c r="Q68" s="72"/>
      <c r="R68" s="232"/>
      <c r="S68" s="232"/>
      <c r="T68" s="232"/>
      <c r="U68" s="232"/>
      <c r="V68" s="232"/>
      <c r="W68" s="233"/>
      <c r="X68" s="233"/>
      <c r="Y68" s="233"/>
      <c r="Z68" s="233"/>
      <c r="AA68" s="233"/>
      <c r="AB68" s="233"/>
      <c r="AC68" s="233"/>
      <c r="AD68" s="233"/>
      <c r="AE68" s="233"/>
      <c r="AF68" s="233"/>
      <c r="AG68" s="233"/>
      <c r="AH68" s="235"/>
      <c r="AI68" s="235"/>
      <c r="AJ68" s="235"/>
      <c r="AK68" s="235"/>
      <c r="AL68" s="235"/>
      <c r="AM68" s="235"/>
      <c r="AN68" s="235"/>
      <c r="AO68" s="235"/>
      <c r="AP68" s="235"/>
      <c r="AQ68" s="235"/>
      <c r="AR68" s="235"/>
      <c r="AS68" s="235"/>
      <c r="AT68" s="235"/>
      <c r="AU68" s="235"/>
      <c r="AV68" s="235"/>
      <c r="AW68" s="236"/>
      <c r="AX68" s="236"/>
      <c r="AY68" s="236"/>
      <c r="AZ68" s="236"/>
      <c r="BA68" s="236"/>
      <c r="BB68" s="236"/>
      <c r="BC68" s="236"/>
      <c r="BD68" s="236"/>
      <c r="BE68" s="236"/>
      <c r="BF68" s="236"/>
      <c r="BG68" s="234"/>
    </row>
    <row r="69" spans="1:59">
      <c r="A69" s="4"/>
      <c r="B69" s="4"/>
      <c r="C69" s="4"/>
      <c r="D69" s="4"/>
      <c r="E69" s="4"/>
      <c r="F69" s="4"/>
      <c r="G69" s="4"/>
      <c r="H69" s="4"/>
      <c r="I69" s="4"/>
      <c r="J69" s="4"/>
      <c r="K69" s="4"/>
      <c r="L69" s="4"/>
      <c r="M69" s="72"/>
      <c r="N69" s="72"/>
      <c r="O69" s="72"/>
      <c r="P69" s="72"/>
      <c r="Q69" s="72"/>
      <c r="R69" s="232"/>
      <c r="S69" s="232"/>
      <c r="T69" s="232"/>
      <c r="U69" s="232"/>
      <c r="V69" s="232"/>
      <c r="W69" s="233"/>
      <c r="X69" s="233"/>
      <c r="Y69" s="233"/>
      <c r="Z69" s="233"/>
      <c r="AA69" s="233"/>
      <c r="AB69" s="233"/>
      <c r="AC69" s="233"/>
      <c r="AD69" s="233"/>
      <c r="AE69" s="233"/>
      <c r="AF69" s="233"/>
      <c r="AG69" s="233"/>
      <c r="AH69" s="235"/>
      <c r="AI69" s="235"/>
      <c r="AJ69" s="235"/>
      <c r="AK69" s="235"/>
      <c r="AL69" s="235"/>
      <c r="AM69" s="235"/>
      <c r="AN69" s="235"/>
      <c r="AO69" s="235"/>
      <c r="AP69" s="235"/>
      <c r="AQ69" s="235"/>
      <c r="AR69" s="235"/>
      <c r="AS69" s="235"/>
      <c r="AT69" s="235"/>
      <c r="AU69" s="235"/>
      <c r="AV69" s="235"/>
      <c r="AW69" s="236"/>
      <c r="AX69" s="236"/>
      <c r="AY69" s="236"/>
      <c r="AZ69" s="236"/>
      <c r="BA69" s="236"/>
      <c r="BB69" s="236"/>
      <c r="BC69" s="236"/>
      <c r="BD69" s="236"/>
      <c r="BE69" s="236"/>
      <c r="BF69" s="236"/>
      <c r="BG69" s="234"/>
    </row>
    <row r="70" spans="1:59">
      <c r="A70" s="4"/>
      <c r="B70" s="4"/>
      <c r="C70" s="4"/>
      <c r="D70" s="4"/>
      <c r="E70" s="4"/>
      <c r="F70" s="4"/>
      <c r="G70" s="4"/>
      <c r="H70" s="4"/>
      <c r="I70" s="4"/>
      <c r="J70" s="4"/>
      <c r="K70" s="4"/>
      <c r="L70" s="4"/>
      <c r="M70" s="72"/>
      <c r="N70" s="72"/>
      <c r="O70" s="72"/>
      <c r="P70" s="72"/>
      <c r="Q70" s="72"/>
      <c r="R70" s="232"/>
      <c r="S70" s="232"/>
      <c r="T70" s="232"/>
      <c r="U70" s="232"/>
      <c r="V70" s="232"/>
      <c r="W70" s="233"/>
      <c r="X70" s="233"/>
      <c r="Y70" s="233"/>
      <c r="Z70" s="233"/>
      <c r="AA70" s="233"/>
      <c r="AB70" s="233"/>
      <c r="AC70" s="233"/>
      <c r="AD70" s="233"/>
      <c r="AE70" s="233"/>
      <c r="AF70" s="233"/>
      <c r="AG70" s="233"/>
      <c r="AH70" s="235"/>
      <c r="AI70" s="235"/>
      <c r="AJ70" s="235"/>
      <c r="AK70" s="235"/>
      <c r="AL70" s="235"/>
      <c r="AM70" s="235"/>
      <c r="AN70" s="235"/>
      <c r="AO70" s="235"/>
      <c r="AP70" s="235"/>
      <c r="AQ70" s="235"/>
      <c r="AR70" s="235"/>
      <c r="AS70" s="235"/>
      <c r="AT70" s="235"/>
      <c r="AU70" s="235"/>
      <c r="AV70" s="235"/>
      <c r="AW70" s="236"/>
      <c r="AX70" s="236"/>
      <c r="AY70" s="236"/>
      <c r="AZ70" s="236"/>
      <c r="BA70" s="236"/>
      <c r="BB70" s="236"/>
      <c r="BC70" s="236"/>
      <c r="BD70" s="236"/>
      <c r="BE70" s="236"/>
      <c r="BF70" s="236"/>
      <c r="BG70" s="234"/>
    </row>
    <row r="71" spans="1:59">
      <c r="A71" s="4"/>
      <c r="B71" s="4"/>
      <c r="C71" s="4"/>
      <c r="D71" s="4"/>
      <c r="E71" s="4"/>
      <c r="F71" s="4"/>
      <c r="G71" s="4"/>
      <c r="H71" s="4"/>
      <c r="I71" s="4"/>
      <c r="J71" s="4"/>
      <c r="K71" s="4"/>
      <c r="L71" s="4"/>
      <c r="M71" s="72"/>
      <c r="N71" s="72"/>
      <c r="O71" s="72"/>
      <c r="P71" s="72"/>
      <c r="Q71" s="72"/>
      <c r="R71" s="232"/>
      <c r="S71" s="232"/>
      <c r="T71" s="232"/>
      <c r="U71" s="232"/>
      <c r="V71" s="232"/>
      <c r="W71" s="233"/>
      <c r="X71" s="233"/>
      <c r="Y71" s="233"/>
      <c r="Z71" s="233"/>
      <c r="AA71" s="233"/>
      <c r="AB71" s="233"/>
      <c r="AC71" s="233"/>
      <c r="AD71" s="233"/>
      <c r="AE71" s="233"/>
      <c r="AF71" s="233"/>
      <c r="AG71" s="233"/>
      <c r="AH71" s="235"/>
      <c r="AI71" s="235"/>
      <c r="AJ71" s="235"/>
      <c r="AK71" s="235"/>
      <c r="AL71" s="235"/>
      <c r="AM71" s="235"/>
      <c r="AN71" s="235"/>
      <c r="AO71" s="235"/>
      <c r="AP71" s="235"/>
      <c r="AQ71" s="235"/>
      <c r="AR71" s="235"/>
      <c r="AS71" s="235"/>
      <c r="AT71" s="235"/>
      <c r="AU71" s="235"/>
      <c r="AV71" s="235"/>
      <c r="AW71" s="236"/>
      <c r="AX71" s="236"/>
      <c r="AY71" s="236"/>
      <c r="AZ71" s="236"/>
      <c r="BA71" s="236"/>
      <c r="BB71" s="236"/>
      <c r="BC71" s="236"/>
      <c r="BD71" s="236"/>
      <c r="BE71" s="236"/>
      <c r="BF71" s="236"/>
      <c r="BG71" s="234"/>
    </row>
    <row r="72" spans="1:59">
      <c r="A72" s="4"/>
      <c r="B72" s="4"/>
      <c r="C72" s="4"/>
      <c r="D72" s="4"/>
      <c r="E72" s="4"/>
      <c r="F72" s="4"/>
      <c r="G72" s="4"/>
      <c r="H72" s="4"/>
      <c r="I72" s="4"/>
      <c r="J72" s="4"/>
      <c r="K72" s="4"/>
      <c r="L72" s="4"/>
      <c r="M72" s="72"/>
      <c r="N72" s="72"/>
      <c r="O72" s="72"/>
      <c r="P72" s="72"/>
      <c r="Q72" s="72"/>
      <c r="R72" s="232"/>
      <c r="S72" s="232"/>
      <c r="T72" s="232"/>
      <c r="U72" s="232"/>
      <c r="V72" s="232"/>
      <c r="W72" s="233"/>
      <c r="X72" s="233"/>
      <c r="Y72" s="233"/>
      <c r="Z72" s="233"/>
      <c r="AA72" s="233"/>
      <c r="AB72" s="233"/>
      <c r="AC72" s="233"/>
      <c r="AD72" s="233"/>
      <c r="AE72" s="233"/>
      <c r="AF72" s="233"/>
      <c r="AG72" s="233"/>
      <c r="AH72" s="235"/>
      <c r="AI72" s="235"/>
      <c r="AJ72" s="235"/>
      <c r="AK72" s="235"/>
      <c r="AL72" s="235"/>
      <c r="AM72" s="235"/>
      <c r="AN72" s="235"/>
      <c r="AO72" s="235"/>
      <c r="AP72" s="235"/>
      <c r="AQ72" s="235"/>
      <c r="AR72" s="235"/>
      <c r="AS72" s="235"/>
      <c r="AT72" s="235"/>
      <c r="AU72" s="235"/>
      <c r="AV72" s="235"/>
      <c r="AW72" s="236"/>
      <c r="AX72" s="236"/>
      <c r="AY72" s="236"/>
      <c r="AZ72" s="236"/>
      <c r="BA72" s="236"/>
      <c r="BB72" s="236"/>
      <c r="BC72" s="236"/>
      <c r="BD72" s="236"/>
      <c r="BE72" s="236"/>
      <c r="BF72" s="236"/>
      <c r="BG72" s="234"/>
    </row>
    <row r="73" spans="1:59">
      <c r="A73" s="4"/>
      <c r="B73" s="4"/>
      <c r="C73" s="4"/>
      <c r="D73" s="4"/>
      <c r="E73" s="4"/>
      <c r="F73" s="4"/>
      <c r="G73" s="4"/>
      <c r="H73" s="4"/>
      <c r="I73" s="4"/>
      <c r="J73" s="4"/>
      <c r="K73" s="4"/>
      <c r="L73" s="4"/>
      <c r="M73" s="72"/>
      <c r="N73" s="72"/>
      <c r="O73" s="72"/>
      <c r="P73" s="72"/>
      <c r="Q73" s="72"/>
      <c r="R73" s="232"/>
      <c r="S73" s="232"/>
      <c r="T73" s="232"/>
      <c r="U73" s="232"/>
      <c r="V73" s="232"/>
      <c r="W73" s="233"/>
      <c r="X73" s="233"/>
      <c r="Y73" s="233"/>
      <c r="Z73" s="233"/>
      <c r="AA73" s="233"/>
      <c r="AB73" s="233"/>
      <c r="AC73" s="233"/>
      <c r="AD73" s="233"/>
      <c r="AE73" s="233"/>
      <c r="AF73" s="233"/>
      <c r="AG73" s="233"/>
      <c r="AH73" s="235"/>
      <c r="AI73" s="235"/>
      <c r="AJ73" s="235"/>
      <c r="AK73" s="235"/>
      <c r="AL73" s="235"/>
      <c r="AM73" s="235"/>
      <c r="AN73" s="235"/>
      <c r="AO73" s="235"/>
      <c r="AP73" s="235"/>
      <c r="AQ73" s="235"/>
      <c r="AR73" s="235"/>
      <c r="AS73" s="235"/>
      <c r="AT73" s="235"/>
      <c r="AU73" s="235"/>
      <c r="AV73" s="235"/>
      <c r="AW73" s="236"/>
      <c r="AX73" s="236"/>
      <c r="AY73" s="236"/>
      <c r="AZ73" s="236"/>
      <c r="BA73" s="236"/>
      <c r="BB73" s="236"/>
      <c r="BC73" s="236"/>
      <c r="BD73" s="236"/>
      <c r="BE73" s="236"/>
      <c r="BF73" s="236"/>
      <c r="BG73" s="234"/>
    </row>
    <row r="74" spans="1:59">
      <c r="A74" s="4"/>
      <c r="B74" s="4"/>
      <c r="C74" s="4"/>
      <c r="D74" s="4"/>
      <c r="E74" s="4"/>
      <c r="F74" s="4"/>
      <c r="G74" s="4"/>
      <c r="H74" s="4"/>
      <c r="I74" s="4"/>
      <c r="J74" s="4"/>
      <c r="K74" s="4"/>
      <c r="L74" s="4"/>
      <c r="M74" s="72"/>
      <c r="N74" s="72"/>
      <c r="O74" s="72"/>
      <c r="P74" s="72"/>
      <c r="Q74" s="72"/>
      <c r="R74" s="232"/>
      <c r="S74" s="232"/>
      <c r="T74" s="232"/>
      <c r="U74" s="232"/>
      <c r="V74" s="232"/>
      <c r="W74" s="233"/>
      <c r="X74" s="233"/>
      <c r="Y74" s="233"/>
      <c r="Z74" s="233"/>
      <c r="AA74" s="233"/>
      <c r="AB74" s="233"/>
      <c r="AC74" s="233"/>
      <c r="AD74" s="233"/>
      <c r="AE74" s="233"/>
      <c r="AF74" s="233"/>
      <c r="AG74" s="233"/>
      <c r="AH74" s="235"/>
      <c r="AI74" s="235"/>
      <c r="AJ74" s="235"/>
      <c r="AK74" s="235"/>
      <c r="AL74" s="235"/>
      <c r="AM74" s="235"/>
      <c r="AN74" s="235"/>
      <c r="AO74" s="235"/>
      <c r="AP74" s="235"/>
      <c r="AQ74" s="235"/>
      <c r="AR74" s="235"/>
      <c r="AS74" s="235"/>
      <c r="AT74" s="235"/>
      <c r="AU74" s="235"/>
      <c r="AV74" s="235"/>
      <c r="AW74" s="236"/>
      <c r="AX74" s="236"/>
      <c r="AY74" s="236"/>
      <c r="AZ74" s="236"/>
      <c r="BA74" s="236"/>
      <c r="BB74" s="236"/>
      <c r="BC74" s="236"/>
      <c r="BD74" s="236"/>
      <c r="BE74" s="236"/>
      <c r="BF74" s="236"/>
      <c r="BG74" s="234"/>
    </row>
    <row r="75" spans="1:59">
      <c r="A75" s="4"/>
      <c r="B75" s="4"/>
      <c r="C75" s="4"/>
      <c r="D75" s="4"/>
      <c r="E75" s="4"/>
      <c r="F75" s="4"/>
      <c r="G75" s="4"/>
      <c r="H75" s="4"/>
      <c r="I75" s="4"/>
      <c r="J75" s="4"/>
      <c r="K75" s="4"/>
      <c r="L75" s="4"/>
      <c r="M75" s="72"/>
      <c r="N75" s="72"/>
      <c r="O75" s="72"/>
      <c r="P75" s="72"/>
      <c r="Q75" s="72"/>
      <c r="R75" s="232"/>
      <c r="S75" s="232"/>
      <c r="T75" s="232"/>
      <c r="U75" s="232"/>
      <c r="V75" s="232"/>
      <c r="W75" s="233"/>
      <c r="X75" s="233"/>
      <c r="Y75" s="233"/>
      <c r="Z75" s="233"/>
      <c r="AA75" s="233"/>
      <c r="AB75" s="233"/>
      <c r="AC75" s="233"/>
      <c r="AD75" s="233"/>
      <c r="AE75" s="233"/>
      <c r="AF75" s="233"/>
      <c r="AG75" s="233"/>
      <c r="AH75" s="235"/>
      <c r="AI75" s="235"/>
      <c r="AJ75" s="235"/>
      <c r="AK75" s="235"/>
      <c r="AL75" s="235"/>
      <c r="AM75" s="235"/>
      <c r="AN75" s="235"/>
      <c r="AO75" s="235"/>
      <c r="AP75" s="235"/>
      <c r="AQ75" s="235"/>
      <c r="AR75" s="235"/>
      <c r="AS75" s="235"/>
      <c r="AT75" s="235"/>
      <c r="AU75" s="235"/>
      <c r="AV75" s="235"/>
      <c r="AW75" s="236"/>
      <c r="AX75" s="236"/>
      <c r="AY75" s="236"/>
      <c r="AZ75" s="236"/>
      <c r="BA75" s="236"/>
      <c r="BB75" s="236"/>
      <c r="BC75" s="236"/>
      <c r="BD75" s="236"/>
      <c r="BE75" s="236"/>
      <c r="BF75" s="236"/>
      <c r="BG75" s="234"/>
    </row>
    <row r="76" spans="1:59">
      <c r="A76" s="4"/>
      <c r="B76" s="4"/>
      <c r="C76" s="4"/>
      <c r="D76" s="4"/>
      <c r="E76" s="4"/>
      <c r="F76" s="4"/>
      <c r="G76" s="4"/>
      <c r="H76" s="4"/>
      <c r="I76" s="4"/>
      <c r="J76" s="4"/>
      <c r="K76" s="4"/>
      <c r="L76" s="4"/>
      <c r="M76" s="72"/>
      <c r="N76" s="72"/>
      <c r="O76" s="72"/>
      <c r="P76" s="72"/>
      <c r="Q76" s="72"/>
      <c r="R76" s="232"/>
      <c r="S76" s="232"/>
      <c r="T76" s="232"/>
      <c r="U76" s="232"/>
      <c r="V76" s="232"/>
      <c r="W76" s="233"/>
      <c r="X76" s="233"/>
      <c r="Y76" s="233"/>
      <c r="Z76" s="233"/>
      <c r="AA76" s="233"/>
      <c r="AB76" s="233"/>
      <c r="AC76" s="233"/>
      <c r="AD76" s="233"/>
      <c r="AE76" s="233"/>
      <c r="AF76" s="233"/>
      <c r="AG76" s="233"/>
      <c r="AH76" s="235"/>
      <c r="AI76" s="235"/>
      <c r="AJ76" s="235"/>
      <c r="AK76" s="235"/>
      <c r="AL76" s="235"/>
      <c r="AM76" s="235"/>
      <c r="AN76" s="235"/>
      <c r="AO76" s="235"/>
      <c r="AP76" s="235"/>
      <c r="AQ76" s="235"/>
      <c r="AR76" s="235"/>
      <c r="AS76" s="235"/>
      <c r="AT76" s="235"/>
      <c r="AU76" s="235"/>
      <c r="AV76" s="235"/>
      <c r="AW76" s="236"/>
      <c r="AX76" s="236"/>
      <c r="AY76" s="236"/>
      <c r="AZ76" s="236"/>
      <c r="BA76" s="236"/>
      <c r="BB76" s="236"/>
      <c r="BC76" s="236"/>
      <c r="BD76" s="236"/>
      <c r="BE76" s="236"/>
      <c r="BF76" s="236"/>
      <c r="BG76" s="234"/>
    </row>
    <row r="77" spans="1:59">
      <c r="A77" s="4"/>
      <c r="B77" s="4"/>
      <c r="C77" s="4"/>
      <c r="D77" s="4"/>
      <c r="E77" s="4"/>
      <c r="F77" s="4"/>
      <c r="G77" s="4"/>
      <c r="H77" s="4"/>
      <c r="I77" s="4"/>
      <c r="J77" s="4"/>
      <c r="K77" s="4"/>
      <c r="L77" s="4"/>
      <c r="M77" s="72"/>
      <c r="N77" s="72"/>
      <c r="O77" s="72"/>
      <c r="P77" s="72"/>
      <c r="Q77" s="72"/>
      <c r="R77" s="232"/>
      <c r="S77" s="232"/>
      <c r="T77" s="232"/>
      <c r="U77" s="232"/>
      <c r="V77" s="232"/>
      <c r="W77" s="233"/>
      <c r="X77" s="233"/>
      <c r="Y77" s="233"/>
      <c r="Z77" s="233"/>
      <c r="AA77" s="233"/>
      <c r="AB77" s="233"/>
      <c r="AC77" s="233"/>
      <c r="AD77" s="233"/>
      <c r="AE77" s="233"/>
      <c r="AF77" s="233"/>
      <c r="AG77" s="233"/>
      <c r="AH77" s="235"/>
      <c r="AI77" s="235"/>
      <c r="AJ77" s="235"/>
      <c r="AK77" s="235"/>
      <c r="AL77" s="235"/>
      <c r="AM77" s="235"/>
      <c r="AN77" s="235"/>
      <c r="AO77" s="235"/>
      <c r="AP77" s="235"/>
      <c r="AQ77" s="235"/>
      <c r="AR77" s="235"/>
      <c r="AS77" s="235"/>
      <c r="AT77" s="235"/>
      <c r="AU77" s="235"/>
      <c r="AV77" s="235"/>
      <c r="AW77" s="236"/>
      <c r="AX77" s="236"/>
      <c r="AY77" s="236"/>
      <c r="AZ77" s="236"/>
      <c r="BA77" s="236"/>
      <c r="BB77" s="236"/>
      <c r="BC77" s="236"/>
      <c r="BD77" s="236"/>
      <c r="BE77" s="236"/>
      <c r="BF77" s="236"/>
      <c r="BG77" s="234"/>
    </row>
  </sheetData>
  <mergeCells count="13">
    <mergeCell ref="AH35:BG38"/>
    <mergeCell ref="A36:I38"/>
    <mergeCell ref="J36:L38"/>
    <mergeCell ref="W36:AG36"/>
    <mergeCell ref="M37:Q38"/>
    <mergeCell ref="R37:V38"/>
    <mergeCell ref="W37:AG37"/>
    <mergeCell ref="W38:AG38"/>
    <mergeCell ref="A35:L35"/>
    <mergeCell ref="M35:Q36"/>
    <mergeCell ref="R35:V36"/>
    <mergeCell ref="W35:Y35"/>
    <mergeCell ref="Z35:AG35"/>
  </mergeCells>
  <phoneticPr fontId="3"/>
  <pageMargins left="0.7" right="0.7" top="0.75" bottom="0.75" header="0.3" footer="0.3"/>
  <pageSetup paperSize="9" scale="9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B1:AG44"/>
  <sheetViews>
    <sheetView showZeros="0" view="pageBreakPreview" zoomScale="75" zoomScaleNormal="75" zoomScaleSheetLayoutView="75" workbookViewId="0">
      <selection activeCell="G13" sqref="G13:Y13"/>
    </sheetView>
  </sheetViews>
  <sheetFormatPr defaultColWidth="9" defaultRowHeight="13"/>
  <cols>
    <col min="1" max="1" width="9.36328125" style="154" customWidth="1"/>
    <col min="2" max="2" width="1.6328125" style="154" customWidth="1"/>
    <col min="3" max="3" width="3.1796875" style="154" customWidth="1"/>
    <col min="4" max="4" width="9" style="154"/>
    <col min="5" max="5" width="4" style="154" customWidth="1"/>
    <col min="6" max="9" width="4.1796875" style="154" customWidth="1"/>
    <col min="10" max="10" width="3.453125" style="154" customWidth="1"/>
    <col min="11" max="11" width="3.6328125" style="154" customWidth="1"/>
    <col min="12" max="12" width="3.1796875" style="154" customWidth="1"/>
    <col min="13" max="13" width="4.453125" style="154" customWidth="1"/>
    <col min="14" max="14" width="4.1796875" style="154" customWidth="1"/>
    <col min="15" max="15" width="7.36328125" style="154" customWidth="1"/>
    <col min="16" max="16" width="3" style="154" customWidth="1"/>
    <col min="17" max="17" width="2.81640625" style="154" customWidth="1"/>
    <col min="18" max="25" width="2.6328125" style="154" customWidth="1"/>
    <col min="26" max="26" width="1.6328125" style="154" customWidth="1"/>
    <col min="27" max="28" width="2.6328125" style="154" customWidth="1"/>
    <col min="29" max="30" width="9" style="154"/>
    <col min="31" max="31" width="16.6328125" style="154" customWidth="1"/>
    <col min="32" max="32" width="9" style="154"/>
    <col min="33" max="33" width="23" style="154" customWidth="1"/>
    <col min="34" max="16384" width="9" style="154"/>
  </cols>
  <sheetData>
    <row r="1" spans="2:27" ht="20.25" customHeight="1"/>
    <row r="2" spans="2:27" ht="20.25" customHeight="1" thickBot="1">
      <c r="C2" s="170" t="s">
        <v>156</v>
      </c>
      <c r="D2" s="170"/>
      <c r="P2" s="630" t="s">
        <v>155</v>
      </c>
      <c r="Q2" s="631"/>
      <c r="R2" s="632"/>
      <c r="S2" s="620"/>
      <c r="T2" s="621"/>
      <c r="U2" s="621"/>
      <c r="V2" s="621"/>
      <c r="W2" s="621"/>
      <c r="X2" s="621"/>
      <c r="Y2" s="621"/>
      <c r="Z2" s="622"/>
    </row>
    <row r="3" spans="2:27" ht="12.75" customHeight="1">
      <c r="B3" s="198"/>
      <c r="C3" s="196"/>
      <c r="D3" s="197"/>
      <c r="E3" s="197"/>
      <c r="F3" s="197"/>
      <c r="G3" s="197"/>
      <c r="H3" s="197"/>
      <c r="I3" s="197"/>
      <c r="J3" s="197"/>
      <c r="K3" s="197"/>
      <c r="L3" s="197"/>
      <c r="M3" s="197"/>
      <c r="N3" s="197"/>
      <c r="O3" s="197"/>
      <c r="P3" s="197"/>
      <c r="Q3" s="196"/>
      <c r="R3" s="196"/>
      <c r="S3" s="196"/>
      <c r="T3" s="590"/>
      <c r="U3" s="590"/>
      <c r="V3" s="590"/>
      <c r="W3" s="590"/>
      <c r="X3" s="590"/>
      <c r="Y3" s="590"/>
      <c r="Z3" s="195"/>
    </row>
    <row r="4" spans="2:27" ht="27" customHeight="1">
      <c r="B4" s="174"/>
      <c r="C4" s="597" t="s">
        <v>154</v>
      </c>
      <c r="D4" s="597"/>
      <c r="E4" s="597"/>
      <c r="F4" s="597"/>
      <c r="G4" s="597"/>
      <c r="H4" s="597"/>
      <c r="I4" s="597"/>
      <c r="J4" s="597"/>
      <c r="K4" s="597"/>
      <c r="L4" s="597"/>
      <c r="M4" s="597"/>
      <c r="N4" s="597"/>
      <c r="O4" s="597"/>
      <c r="P4" s="597"/>
      <c r="Q4" s="598"/>
      <c r="R4" s="598"/>
      <c r="S4" s="598"/>
      <c r="T4" s="598"/>
      <c r="U4" s="598"/>
      <c r="V4" s="598"/>
      <c r="W4" s="598"/>
      <c r="X4" s="598"/>
      <c r="Y4" s="598"/>
      <c r="Z4" s="169"/>
    </row>
    <row r="5" spans="2:27" ht="7.5" customHeight="1">
      <c r="B5" s="174"/>
      <c r="C5" s="170"/>
      <c r="D5" s="170"/>
      <c r="E5" s="170"/>
      <c r="F5" s="170"/>
      <c r="G5" s="170"/>
      <c r="H5" s="170"/>
      <c r="I5" s="170"/>
      <c r="J5" s="170"/>
      <c r="K5" s="170"/>
      <c r="L5" s="170"/>
      <c r="M5" s="170"/>
      <c r="N5" s="170"/>
      <c r="O5" s="170"/>
      <c r="P5" s="170"/>
      <c r="Q5" s="170"/>
      <c r="R5" s="170"/>
      <c r="S5" s="170"/>
      <c r="T5" s="170"/>
      <c r="U5" s="170"/>
      <c r="V5" s="170"/>
      <c r="W5" s="170"/>
      <c r="X5" s="170"/>
      <c r="Y5" s="170"/>
      <c r="Z5" s="169"/>
      <c r="AA5" s="190"/>
    </row>
    <row r="6" spans="2:27" s="164" customFormat="1" ht="15.75" customHeight="1">
      <c r="B6" s="182"/>
      <c r="C6" s="599" t="s">
        <v>153</v>
      </c>
      <c r="D6" s="186" t="s">
        <v>152</v>
      </c>
      <c r="E6" s="613">
        <f>基本情報!B4</f>
        <v>0</v>
      </c>
      <c r="F6" s="614"/>
      <c r="G6" s="614"/>
      <c r="H6" s="614"/>
      <c r="I6" s="614"/>
      <c r="J6" s="614"/>
      <c r="K6" s="614"/>
      <c r="L6" s="614"/>
      <c r="M6" s="615"/>
      <c r="N6" s="602" t="s">
        <v>151</v>
      </c>
      <c r="O6" s="603"/>
      <c r="P6" s="591"/>
      <c r="Q6" s="592"/>
      <c r="R6" s="592"/>
      <c r="S6" s="593"/>
      <c r="T6" s="607">
        <v>4</v>
      </c>
      <c r="U6" s="607">
        <v>0</v>
      </c>
      <c r="V6" s="607">
        <v>1</v>
      </c>
      <c r="W6" s="607">
        <v>3</v>
      </c>
      <c r="X6" s="604"/>
      <c r="Y6" s="604"/>
      <c r="Z6" s="181"/>
      <c r="AA6" s="190"/>
    </row>
    <row r="7" spans="2:27" s="164" customFormat="1" ht="16.5" customHeight="1">
      <c r="B7" s="182"/>
      <c r="C7" s="599"/>
      <c r="D7" s="601" t="s">
        <v>150</v>
      </c>
      <c r="E7" s="658">
        <f>基本情報!B3</f>
        <v>0</v>
      </c>
      <c r="F7" s="611"/>
      <c r="G7" s="611"/>
      <c r="H7" s="611"/>
      <c r="I7" s="611"/>
      <c r="J7" s="611"/>
      <c r="K7" s="611"/>
      <c r="L7" s="611"/>
      <c r="M7" s="659"/>
      <c r="N7" s="602"/>
      <c r="O7" s="603"/>
      <c r="P7" s="594"/>
      <c r="Q7" s="595"/>
      <c r="R7" s="595"/>
      <c r="S7" s="596"/>
      <c r="T7" s="607"/>
      <c r="U7" s="607"/>
      <c r="V7" s="607"/>
      <c r="W7" s="607"/>
      <c r="X7" s="604"/>
      <c r="Y7" s="604"/>
      <c r="Z7" s="181"/>
      <c r="AA7" s="190"/>
    </row>
    <row r="8" spans="2:27" s="164" customFormat="1" ht="16.5" customHeight="1">
      <c r="B8" s="182"/>
      <c r="C8" s="599"/>
      <c r="D8" s="601"/>
      <c r="E8" s="660"/>
      <c r="F8" s="628"/>
      <c r="G8" s="628"/>
      <c r="H8" s="628"/>
      <c r="I8" s="628"/>
      <c r="J8" s="628"/>
      <c r="K8" s="628"/>
      <c r="L8" s="628"/>
      <c r="M8" s="661"/>
      <c r="N8" s="600" t="s">
        <v>149</v>
      </c>
      <c r="O8" s="600"/>
      <c r="P8" s="605" t="str">
        <f>MID(基本情報!B7,1,1)</f>
        <v/>
      </c>
      <c r="Q8" s="605" t="str">
        <f>MID(基本情報!B7,2,1)</f>
        <v/>
      </c>
      <c r="R8" s="605" t="str">
        <f>MID(基本情報!B7,3,1)</f>
        <v/>
      </c>
      <c r="S8" s="605" t="str">
        <f>MID(基本情報!B7,4,1)</f>
        <v/>
      </c>
      <c r="T8" s="605" t="str">
        <f>MID(基本情報!B7,5,1)</f>
        <v/>
      </c>
      <c r="U8" s="605" t="str">
        <f>MID(基本情報!B7,6,1)</f>
        <v/>
      </c>
      <c r="V8" s="605" t="str">
        <f>MID(基本情報!B7,7,1)</f>
        <v/>
      </c>
      <c r="W8" s="605" t="str">
        <f>MID(基本情報!B7,8,1)</f>
        <v/>
      </c>
      <c r="X8" s="605" t="str">
        <f>MID(基本情報!B7,9,1)</f>
        <v/>
      </c>
      <c r="Y8" s="605" t="str">
        <f>MID(基本情報!B7,10,1)</f>
        <v/>
      </c>
      <c r="Z8" s="181"/>
      <c r="AA8" s="190"/>
    </row>
    <row r="9" spans="2:27" s="164" customFormat="1" ht="16.5" customHeight="1">
      <c r="B9" s="182"/>
      <c r="C9" s="599"/>
      <c r="D9" s="194" t="s">
        <v>148</v>
      </c>
      <c r="E9" s="193" t="s">
        <v>147</v>
      </c>
      <c r="F9" s="193"/>
      <c r="G9" s="184"/>
      <c r="H9" s="192">
        <f>基本情報!C9</f>
        <v>0</v>
      </c>
      <c r="I9" s="183" t="s">
        <v>146</v>
      </c>
      <c r="J9" s="183">
        <f>基本情報!E9</f>
        <v>0</v>
      </c>
      <c r="K9" s="192" t="s">
        <v>145</v>
      </c>
      <c r="L9" s="192">
        <f>基本情報!G9</f>
        <v>0</v>
      </c>
      <c r="M9" s="191" t="s">
        <v>144</v>
      </c>
      <c r="N9" s="600"/>
      <c r="O9" s="600"/>
      <c r="P9" s="606"/>
      <c r="Q9" s="606"/>
      <c r="R9" s="606"/>
      <c r="S9" s="606"/>
      <c r="T9" s="606"/>
      <c r="U9" s="606"/>
      <c r="V9" s="606"/>
      <c r="W9" s="606"/>
      <c r="X9" s="606"/>
      <c r="Y9" s="606"/>
      <c r="Z9" s="181"/>
      <c r="AA9" s="190"/>
    </row>
    <row r="10" spans="2:27" s="164" customFormat="1" ht="20.25" customHeight="1">
      <c r="B10" s="182"/>
      <c r="C10" s="602" t="s">
        <v>84</v>
      </c>
      <c r="D10" s="639"/>
      <c r="E10" s="639"/>
      <c r="F10" s="603"/>
      <c r="G10" s="602" t="s">
        <v>143</v>
      </c>
      <c r="H10" s="639"/>
      <c r="I10" s="639"/>
      <c r="J10" s="639"/>
      <c r="K10" s="639"/>
      <c r="L10" s="639"/>
      <c r="M10" s="639"/>
      <c r="N10" s="639"/>
      <c r="O10" s="639"/>
      <c r="P10" s="639"/>
      <c r="Q10" s="639"/>
      <c r="R10" s="639"/>
      <c r="S10" s="639"/>
      <c r="T10" s="639"/>
      <c r="U10" s="639"/>
      <c r="V10" s="639"/>
      <c r="W10" s="639"/>
      <c r="X10" s="639"/>
      <c r="Y10" s="603"/>
      <c r="Z10" s="181"/>
      <c r="AA10" s="190"/>
    </row>
    <row r="11" spans="2:27" s="164" customFormat="1" ht="25" customHeight="1">
      <c r="B11" s="182"/>
      <c r="C11" s="602" t="s">
        <v>142</v>
      </c>
      <c r="D11" s="639"/>
      <c r="E11" s="639"/>
      <c r="F11" s="603"/>
      <c r="G11" s="636"/>
      <c r="H11" s="637"/>
      <c r="I11" s="637"/>
      <c r="J11" s="637"/>
      <c r="K11" s="637"/>
      <c r="L11" s="637"/>
      <c r="M11" s="637"/>
      <c r="N11" s="637"/>
      <c r="O11" s="637"/>
      <c r="P11" s="637"/>
      <c r="Q11" s="637"/>
      <c r="R11" s="637"/>
      <c r="S11" s="637"/>
      <c r="T11" s="637"/>
      <c r="U11" s="637"/>
      <c r="V11" s="637"/>
      <c r="W11" s="637"/>
      <c r="X11" s="637"/>
      <c r="Y11" s="638"/>
      <c r="Z11" s="181"/>
      <c r="AA11" s="190"/>
    </row>
    <row r="12" spans="2:27" s="164" customFormat="1" ht="25" customHeight="1">
      <c r="B12" s="182"/>
      <c r="C12" s="602" t="s">
        <v>141</v>
      </c>
      <c r="D12" s="639"/>
      <c r="E12" s="639"/>
      <c r="F12" s="603"/>
      <c r="G12" s="636"/>
      <c r="H12" s="637"/>
      <c r="I12" s="637"/>
      <c r="J12" s="637"/>
      <c r="K12" s="637"/>
      <c r="L12" s="637"/>
      <c r="M12" s="637"/>
      <c r="N12" s="637"/>
      <c r="O12" s="637"/>
      <c r="P12" s="637"/>
      <c r="Q12" s="637"/>
      <c r="R12" s="637"/>
      <c r="S12" s="637"/>
      <c r="T12" s="637"/>
      <c r="U12" s="637"/>
      <c r="V12" s="637"/>
      <c r="W12" s="637"/>
      <c r="X12" s="637"/>
      <c r="Y12" s="638"/>
      <c r="Z12" s="181"/>
      <c r="AA12" s="190"/>
    </row>
    <row r="13" spans="2:27" s="164" customFormat="1" ht="25" customHeight="1">
      <c r="B13" s="182"/>
      <c r="C13" s="643" t="s">
        <v>140</v>
      </c>
      <c r="D13" s="644"/>
      <c r="E13" s="644"/>
      <c r="F13" s="645"/>
      <c r="G13" s="623"/>
      <c r="H13" s="610"/>
      <c r="I13" s="610"/>
      <c r="J13" s="610"/>
      <c r="K13" s="610"/>
      <c r="L13" s="610"/>
      <c r="M13" s="610"/>
      <c r="N13" s="610"/>
      <c r="O13" s="610"/>
      <c r="P13" s="610"/>
      <c r="Q13" s="610"/>
      <c r="R13" s="610"/>
      <c r="S13" s="610"/>
      <c r="T13" s="610"/>
      <c r="U13" s="610"/>
      <c r="V13" s="610"/>
      <c r="W13" s="610"/>
      <c r="X13" s="610"/>
      <c r="Y13" s="624"/>
      <c r="Z13" s="181"/>
      <c r="AA13" s="190"/>
    </row>
    <row r="14" spans="2:27" s="164" customFormat="1" ht="25" customHeight="1">
      <c r="B14" s="182"/>
      <c r="C14" s="643" t="s">
        <v>139</v>
      </c>
      <c r="D14" s="644"/>
      <c r="E14" s="644"/>
      <c r="F14" s="645"/>
      <c r="G14" s="623"/>
      <c r="H14" s="610"/>
      <c r="I14" s="610"/>
      <c r="J14" s="610"/>
      <c r="K14" s="610"/>
      <c r="L14" s="610"/>
      <c r="M14" s="610"/>
      <c r="N14" s="610"/>
      <c r="O14" s="610"/>
      <c r="P14" s="610"/>
      <c r="Q14" s="610"/>
      <c r="R14" s="610"/>
      <c r="S14" s="610"/>
      <c r="T14" s="610"/>
      <c r="U14" s="610"/>
      <c r="V14" s="610"/>
      <c r="W14" s="610"/>
      <c r="X14" s="610"/>
      <c r="Y14" s="624"/>
      <c r="Z14" s="181"/>
      <c r="AA14" s="608" t="s">
        <v>138</v>
      </c>
    </row>
    <row r="15" spans="2:27" s="164" customFormat="1" ht="25" customHeight="1">
      <c r="B15" s="182"/>
      <c r="C15" s="643" t="s">
        <v>137</v>
      </c>
      <c r="D15" s="644"/>
      <c r="E15" s="644"/>
      <c r="F15" s="645"/>
      <c r="G15" s="623"/>
      <c r="H15" s="610"/>
      <c r="I15" s="610"/>
      <c r="J15" s="610"/>
      <c r="K15" s="610"/>
      <c r="L15" s="610"/>
      <c r="M15" s="610"/>
      <c r="N15" s="610"/>
      <c r="O15" s="610"/>
      <c r="P15" s="610"/>
      <c r="Q15" s="610"/>
      <c r="R15" s="610"/>
      <c r="S15" s="610"/>
      <c r="T15" s="610"/>
      <c r="U15" s="610"/>
      <c r="V15" s="610"/>
      <c r="W15" s="610"/>
      <c r="X15" s="610"/>
      <c r="Y15" s="624"/>
      <c r="Z15" s="181"/>
      <c r="AA15" s="608"/>
    </row>
    <row r="16" spans="2:27" s="164" customFormat="1" ht="25" customHeight="1">
      <c r="B16" s="182"/>
      <c r="C16" s="602" t="s">
        <v>136</v>
      </c>
      <c r="D16" s="639"/>
      <c r="E16" s="639"/>
      <c r="F16" s="603"/>
      <c r="G16" s="628"/>
      <c r="H16" s="628"/>
      <c r="I16" s="628"/>
      <c r="J16" s="628"/>
      <c r="K16" s="628"/>
      <c r="L16" s="628"/>
      <c r="M16" s="628"/>
      <c r="N16" s="628"/>
      <c r="O16" s="189" t="s">
        <v>135</v>
      </c>
      <c r="P16" s="188"/>
      <c r="Q16" s="188"/>
      <c r="R16" s="188"/>
      <c r="S16" s="610"/>
      <c r="T16" s="610"/>
      <c r="U16" s="610"/>
      <c r="V16" s="610"/>
      <c r="W16" s="610"/>
      <c r="X16" s="188" t="s">
        <v>134</v>
      </c>
      <c r="Y16" s="187"/>
      <c r="Z16" s="181"/>
      <c r="AA16" s="608"/>
    </row>
    <row r="17" spans="2:29" s="164" customFormat="1" ht="25" customHeight="1">
      <c r="B17" s="182"/>
      <c r="C17" s="602" t="s">
        <v>133</v>
      </c>
      <c r="D17" s="639"/>
      <c r="E17" s="639"/>
      <c r="F17" s="603"/>
      <c r="G17" s="604" t="s">
        <v>132</v>
      </c>
      <c r="H17" s="604"/>
      <c r="I17" s="604"/>
      <c r="J17" s="604"/>
      <c r="K17" s="604"/>
      <c r="L17" s="604"/>
      <c r="M17" s="604"/>
      <c r="N17" s="601" t="s">
        <v>131</v>
      </c>
      <c r="O17" s="601"/>
      <c r="P17" s="601"/>
      <c r="Q17" s="613" t="s">
        <v>130</v>
      </c>
      <c r="R17" s="618"/>
      <c r="S17" s="618"/>
      <c r="T17" s="618"/>
      <c r="U17" s="618"/>
      <c r="V17" s="618"/>
      <c r="W17" s="618"/>
      <c r="X17" s="618"/>
      <c r="Y17" s="619"/>
      <c r="Z17" s="181"/>
      <c r="AA17" s="608"/>
    </row>
    <row r="18" spans="2:29" s="164" customFormat="1" ht="25" customHeight="1">
      <c r="B18" s="182"/>
      <c r="C18" s="643" t="s">
        <v>129</v>
      </c>
      <c r="D18" s="644"/>
      <c r="E18" s="644"/>
      <c r="F18" s="645"/>
      <c r="G18" s="617" t="s">
        <v>46</v>
      </c>
      <c r="H18" s="617"/>
      <c r="I18" s="617"/>
      <c r="J18" s="617"/>
      <c r="K18" s="617"/>
      <c r="L18" s="617"/>
      <c r="M18" s="627" t="s">
        <v>128</v>
      </c>
      <c r="N18" s="627"/>
      <c r="O18" s="627"/>
      <c r="P18" s="627"/>
      <c r="Q18" s="616" t="s">
        <v>46</v>
      </c>
      <c r="R18" s="616"/>
      <c r="S18" s="616"/>
      <c r="T18" s="616"/>
      <c r="U18" s="616"/>
      <c r="V18" s="616"/>
      <c r="W18" s="616"/>
      <c r="X18" s="616"/>
      <c r="Y18" s="616"/>
      <c r="Z18" s="181"/>
      <c r="AA18" s="608"/>
      <c r="AC18" s="185"/>
    </row>
    <row r="19" spans="2:29" s="164" customFormat="1" ht="25" customHeight="1">
      <c r="B19" s="182"/>
      <c r="C19" s="643" t="s">
        <v>127</v>
      </c>
      <c r="D19" s="644"/>
      <c r="E19" s="644"/>
      <c r="F19" s="645"/>
      <c r="G19" s="613" t="s">
        <v>333</v>
      </c>
      <c r="H19" s="614"/>
      <c r="I19" s="614"/>
      <c r="J19" s="614"/>
      <c r="K19" s="614"/>
      <c r="L19" s="614"/>
      <c r="M19" s="614"/>
      <c r="N19" s="614"/>
      <c r="O19" s="614"/>
      <c r="P19" s="614"/>
      <c r="Q19" s="614"/>
      <c r="R19" s="614"/>
      <c r="S19" s="614"/>
      <c r="T19" s="614"/>
      <c r="U19" s="614"/>
      <c r="V19" s="614"/>
      <c r="W19" s="614"/>
      <c r="X19" s="614"/>
      <c r="Y19" s="615"/>
      <c r="Z19" s="181"/>
      <c r="AA19" s="608"/>
    </row>
    <row r="20" spans="2:29" s="164" customFormat="1" ht="25" customHeight="1">
      <c r="B20" s="182"/>
      <c r="C20" s="655" t="s">
        <v>126</v>
      </c>
      <c r="D20" s="656"/>
      <c r="E20" s="656"/>
      <c r="F20" s="657"/>
      <c r="G20" s="612" t="s">
        <v>124</v>
      </c>
      <c r="H20" s="612"/>
      <c r="I20" s="612"/>
      <c r="J20" s="612"/>
      <c r="K20" s="612"/>
      <c r="L20" s="612"/>
      <c r="M20" s="629" t="s">
        <v>125</v>
      </c>
      <c r="N20" s="629"/>
      <c r="O20" s="629"/>
      <c r="P20" s="629"/>
      <c r="Q20" s="609" t="s">
        <v>124</v>
      </c>
      <c r="R20" s="609"/>
      <c r="S20" s="609"/>
      <c r="T20" s="609"/>
      <c r="U20" s="609"/>
      <c r="V20" s="609"/>
      <c r="W20" s="609"/>
      <c r="X20" s="609"/>
      <c r="Y20" s="609"/>
      <c r="Z20" s="181"/>
      <c r="AA20" s="608"/>
    </row>
    <row r="21" spans="2:29" ht="9" customHeight="1">
      <c r="B21" s="174"/>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69"/>
      <c r="AA21" s="608"/>
    </row>
    <row r="22" spans="2:29" ht="20.25" customHeight="1">
      <c r="B22" s="174"/>
      <c r="C22" s="654" t="s">
        <v>123</v>
      </c>
      <c r="D22" s="654"/>
      <c r="E22" s="654"/>
      <c r="F22" s="654"/>
      <c r="G22" s="654"/>
      <c r="H22" s="654"/>
      <c r="I22" s="654"/>
      <c r="J22" s="654"/>
      <c r="K22" s="654"/>
      <c r="L22" s="654"/>
      <c r="M22" s="654"/>
      <c r="N22" s="654"/>
      <c r="O22" s="654"/>
      <c r="P22" s="654"/>
      <c r="Q22" s="654"/>
      <c r="R22" s="654"/>
      <c r="S22" s="654"/>
      <c r="T22" s="654"/>
      <c r="U22" s="654"/>
      <c r="V22" s="654"/>
      <c r="W22" s="654"/>
      <c r="X22" s="654"/>
      <c r="Y22" s="654"/>
      <c r="Z22" s="169"/>
      <c r="AA22" s="608"/>
    </row>
    <row r="23" spans="2:29" ht="17.25" customHeight="1">
      <c r="B23" s="174"/>
      <c r="C23" s="626" t="s">
        <v>122</v>
      </c>
      <c r="D23" s="626"/>
      <c r="E23" s="626"/>
      <c r="F23" s="626"/>
      <c r="G23" s="626"/>
      <c r="H23" s="179"/>
      <c r="I23" s="170"/>
      <c r="J23" s="170"/>
      <c r="K23" s="170"/>
      <c r="L23" s="170"/>
      <c r="M23" s="170"/>
      <c r="N23" s="170"/>
      <c r="O23" s="170"/>
      <c r="P23" s="170"/>
      <c r="Q23" s="170"/>
      <c r="R23" s="170"/>
      <c r="S23" s="170"/>
      <c r="T23" s="170"/>
      <c r="U23" s="170"/>
      <c r="V23" s="170"/>
      <c r="W23" s="170"/>
      <c r="X23" s="170"/>
      <c r="Y23" s="170"/>
      <c r="Z23" s="169"/>
      <c r="AA23" s="608"/>
    </row>
    <row r="24" spans="2:29" ht="12.75" customHeight="1">
      <c r="B24" s="174"/>
      <c r="C24" s="180" t="s">
        <v>121</v>
      </c>
      <c r="D24" s="179"/>
      <c r="E24" s="179"/>
      <c r="F24" s="179"/>
      <c r="G24" s="179"/>
      <c r="H24" s="170"/>
      <c r="I24" s="170"/>
      <c r="J24" s="170"/>
      <c r="K24" s="170"/>
      <c r="L24" s="170"/>
      <c r="M24" s="170"/>
      <c r="N24" s="170"/>
      <c r="O24" s="170"/>
      <c r="P24" s="170"/>
      <c r="Q24" s="170"/>
      <c r="R24" s="170"/>
      <c r="S24" s="170"/>
      <c r="T24" s="170"/>
      <c r="U24" s="170"/>
      <c r="V24" s="170"/>
      <c r="W24" s="170"/>
      <c r="X24" s="170"/>
      <c r="Y24" s="170"/>
      <c r="Z24" s="169"/>
      <c r="AA24" s="608"/>
    </row>
    <row r="25" spans="2:29" ht="30" customHeight="1">
      <c r="B25" s="174"/>
      <c r="C25" s="170"/>
      <c r="D25" s="173" t="s">
        <v>120</v>
      </c>
      <c r="E25" s="178"/>
      <c r="F25" s="170" t="s">
        <v>119</v>
      </c>
      <c r="G25" s="170"/>
      <c r="H25" s="170" t="s">
        <v>118</v>
      </c>
      <c r="I25" s="170"/>
      <c r="J25" s="170" t="s">
        <v>117</v>
      </c>
      <c r="K25" s="170"/>
      <c r="L25" s="663">
        <f>基本情報!B5</f>
        <v>0</v>
      </c>
      <c r="M25" s="663"/>
      <c r="N25" s="663"/>
      <c r="O25" s="663"/>
      <c r="P25" s="663"/>
      <c r="Q25" s="663"/>
      <c r="R25" s="663"/>
      <c r="S25" s="663"/>
      <c r="T25" s="663"/>
      <c r="U25" s="663"/>
      <c r="V25" s="663"/>
      <c r="W25" s="663"/>
      <c r="X25" s="663"/>
      <c r="Y25" s="170"/>
      <c r="Z25" s="169"/>
      <c r="AA25" s="608"/>
    </row>
    <row r="26" spans="2:29" ht="30" customHeight="1">
      <c r="B26" s="174"/>
      <c r="C26" s="170"/>
      <c r="D26" s="173"/>
      <c r="E26" s="170"/>
      <c r="F26" s="170"/>
      <c r="G26" s="170"/>
      <c r="H26" s="172"/>
      <c r="I26" s="170" t="s">
        <v>116</v>
      </c>
      <c r="J26" s="170" t="s">
        <v>115</v>
      </c>
      <c r="K26" s="170"/>
      <c r="L26" s="653"/>
      <c r="M26" s="653"/>
      <c r="N26" s="653"/>
      <c r="O26" s="653"/>
      <c r="P26" s="653"/>
      <c r="Q26" s="653"/>
      <c r="R26" s="653"/>
      <c r="S26" s="653"/>
      <c r="T26" s="653"/>
      <c r="U26" s="653"/>
      <c r="V26" s="653"/>
      <c r="W26" s="653"/>
      <c r="X26" s="177"/>
      <c r="Y26" s="170"/>
      <c r="Z26" s="169"/>
      <c r="AA26" s="608"/>
    </row>
    <row r="27" spans="2:29" ht="15.75" customHeight="1">
      <c r="B27" s="174"/>
      <c r="C27" s="170"/>
      <c r="D27" s="173"/>
      <c r="E27" s="170"/>
      <c r="F27" s="170"/>
      <c r="G27" s="170"/>
      <c r="H27" s="172"/>
      <c r="I27" s="170"/>
      <c r="J27" s="170"/>
      <c r="K27" s="170"/>
      <c r="L27" s="171" t="s">
        <v>114</v>
      </c>
      <c r="M27" s="175"/>
      <c r="N27" s="175"/>
      <c r="O27" s="176" t="s">
        <v>113</v>
      </c>
      <c r="P27" s="611">
        <f>基本情報!B6</f>
        <v>0</v>
      </c>
      <c r="Q27" s="611"/>
      <c r="R27" s="611"/>
      <c r="S27" s="611"/>
      <c r="T27" s="611"/>
      <c r="U27" s="611"/>
      <c r="V27" s="611"/>
      <c r="W27" s="611"/>
      <c r="X27" s="175"/>
      <c r="Y27" s="170"/>
      <c r="Z27" s="169"/>
      <c r="AA27" s="608"/>
    </row>
    <row r="28" spans="2:29" ht="15" customHeight="1">
      <c r="B28" s="174"/>
      <c r="C28" s="170"/>
      <c r="D28" s="173"/>
      <c r="E28" s="170"/>
      <c r="F28" s="170"/>
      <c r="G28" s="170"/>
      <c r="H28" s="172"/>
      <c r="I28" s="170"/>
      <c r="J28" s="170"/>
      <c r="K28" s="170"/>
      <c r="L28" s="170"/>
      <c r="M28" s="170"/>
      <c r="N28" s="171"/>
      <c r="O28" s="170"/>
      <c r="P28" s="170"/>
      <c r="Q28" s="170"/>
      <c r="R28" s="170"/>
      <c r="S28" s="170"/>
      <c r="T28" s="170"/>
      <c r="U28" s="170"/>
      <c r="V28" s="170"/>
      <c r="W28" s="170"/>
      <c r="X28" s="170"/>
      <c r="Y28" s="170"/>
      <c r="Z28" s="169"/>
      <c r="AA28" s="608"/>
    </row>
    <row r="29" spans="2:29" ht="21" customHeight="1" thickBot="1">
      <c r="B29" s="168"/>
      <c r="C29" s="166"/>
      <c r="D29" s="166"/>
      <c r="E29" s="166"/>
      <c r="F29" s="166"/>
      <c r="G29" s="166"/>
      <c r="H29" s="166"/>
      <c r="I29" s="166"/>
      <c r="J29" s="166"/>
      <c r="K29" s="166"/>
      <c r="L29" s="166"/>
      <c r="M29" s="166"/>
      <c r="N29" s="167"/>
      <c r="O29" s="166"/>
      <c r="P29" s="166"/>
      <c r="Q29" s="166"/>
      <c r="R29" s="166"/>
      <c r="S29" s="166"/>
      <c r="T29" s="166"/>
      <c r="U29" s="166"/>
      <c r="V29" s="166"/>
      <c r="W29" s="166"/>
      <c r="X29" s="167"/>
      <c r="Y29" s="166"/>
      <c r="Z29" s="165"/>
      <c r="AA29" s="608"/>
    </row>
    <row r="30" spans="2:29" ht="25" customHeight="1">
      <c r="N30" s="164"/>
      <c r="X30" s="164"/>
      <c r="AA30" s="163"/>
    </row>
    <row r="31" spans="2:29" ht="25" customHeight="1">
      <c r="N31" s="164"/>
      <c r="X31" s="164"/>
      <c r="AA31" s="163"/>
    </row>
    <row r="32" spans="2:29" ht="25" customHeight="1">
      <c r="N32" s="164"/>
      <c r="X32" s="164"/>
      <c r="AA32" s="163"/>
    </row>
    <row r="33" spans="2:33" ht="25" customHeight="1">
      <c r="B33" s="162"/>
      <c r="D33" s="162"/>
      <c r="AA33" s="161"/>
    </row>
    <row r="34" spans="2:33" ht="25" customHeight="1">
      <c r="B34" s="640" t="s">
        <v>112</v>
      </c>
      <c r="C34" s="641"/>
      <c r="D34" s="641"/>
      <c r="E34" s="641"/>
      <c r="F34" s="641"/>
      <c r="G34" s="641"/>
      <c r="H34" s="641"/>
      <c r="I34" s="641"/>
      <c r="J34" s="641"/>
      <c r="K34" s="641"/>
      <c r="L34" s="641"/>
      <c r="M34" s="641"/>
      <c r="N34" s="641"/>
      <c r="O34" s="641"/>
      <c r="P34" s="641"/>
      <c r="Q34" s="641"/>
      <c r="R34" s="641"/>
      <c r="S34" s="641"/>
      <c r="T34" s="641"/>
      <c r="U34" s="641"/>
      <c r="V34" s="641"/>
      <c r="W34" s="641"/>
      <c r="X34" s="641"/>
      <c r="Y34" s="641"/>
      <c r="Z34" s="642"/>
      <c r="AA34" s="161"/>
    </row>
    <row r="35" spans="2:33" ht="25" customHeight="1">
      <c r="B35" s="633" t="s">
        <v>111</v>
      </c>
      <c r="C35" s="634"/>
      <c r="D35" s="634"/>
      <c r="E35" s="634"/>
      <c r="F35" s="634"/>
      <c r="G35" s="634"/>
      <c r="H35" s="634"/>
      <c r="I35" s="634"/>
      <c r="J35" s="634"/>
      <c r="K35" s="634"/>
      <c r="L35" s="634"/>
      <c r="M35" s="635"/>
      <c r="N35" s="625" t="s">
        <v>110</v>
      </c>
      <c r="O35" s="625"/>
      <c r="P35" s="625"/>
      <c r="Q35" s="625"/>
      <c r="R35" s="625"/>
      <c r="S35" s="625" t="s">
        <v>109</v>
      </c>
      <c r="T35" s="625"/>
      <c r="U35" s="625"/>
      <c r="V35" s="625"/>
      <c r="W35" s="625"/>
      <c r="X35" s="625"/>
      <c r="Y35" s="625"/>
      <c r="Z35" s="625"/>
      <c r="AE35" s="155"/>
      <c r="AF35" s="155"/>
      <c r="AG35" s="160"/>
    </row>
    <row r="36" spans="2:33" ht="25" customHeight="1">
      <c r="B36" s="646" t="s">
        <v>108</v>
      </c>
      <c r="C36" s="647"/>
      <c r="D36" s="647"/>
      <c r="E36" s="647"/>
      <c r="F36" s="647"/>
      <c r="G36" s="647"/>
      <c r="H36" s="647"/>
      <c r="I36" s="647"/>
      <c r="J36" s="647"/>
      <c r="K36" s="647"/>
      <c r="L36" s="647"/>
      <c r="M36" s="648"/>
      <c r="N36" s="655" t="s">
        <v>107</v>
      </c>
      <c r="O36" s="656"/>
      <c r="P36" s="656"/>
      <c r="Q36" s="656"/>
      <c r="R36" s="657"/>
      <c r="S36" s="649"/>
      <c r="T36" s="650"/>
      <c r="U36" s="650"/>
      <c r="V36" s="650"/>
      <c r="W36" s="650"/>
      <c r="X36" s="650"/>
      <c r="Y36" s="650"/>
      <c r="Z36" s="651"/>
      <c r="AE36" s="155"/>
      <c r="AF36" s="155"/>
      <c r="AG36" s="155"/>
    </row>
    <row r="37" spans="2:33" ht="25" customHeight="1">
      <c r="B37" s="625" t="s">
        <v>106</v>
      </c>
      <c r="C37" s="625"/>
      <c r="D37" s="625"/>
      <c r="E37" s="625"/>
      <c r="F37" s="625"/>
      <c r="G37" s="625" t="s">
        <v>105</v>
      </c>
      <c r="H37" s="625"/>
      <c r="I37" s="625"/>
      <c r="J37" s="625"/>
      <c r="K37" s="625"/>
      <c r="L37" s="625"/>
      <c r="M37" s="625"/>
      <c r="N37" s="625"/>
      <c r="O37" s="625"/>
      <c r="P37" s="625"/>
      <c r="Q37" s="625"/>
      <c r="R37" s="625"/>
      <c r="S37" s="649"/>
      <c r="T37" s="650"/>
      <c r="U37" s="650"/>
      <c r="V37" s="650"/>
      <c r="W37" s="650"/>
      <c r="X37" s="650"/>
      <c r="Y37" s="650"/>
      <c r="Z37" s="651"/>
      <c r="AE37" s="155"/>
      <c r="AF37" s="155"/>
      <c r="AG37" s="155"/>
    </row>
    <row r="38" spans="2:33" ht="25" customHeight="1">
      <c r="B38" s="652" t="s">
        <v>104</v>
      </c>
      <c r="C38" s="652"/>
      <c r="D38" s="652"/>
      <c r="E38" s="652"/>
      <c r="F38" s="652"/>
      <c r="G38" s="629" t="s">
        <v>103</v>
      </c>
      <c r="H38" s="629"/>
      <c r="I38" s="629"/>
      <c r="J38" s="629"/>
      <c r="K38" s="629"/>
      <c r="L38" s="629"/>
      <c r="M38" s="629"/>
      <c r="N38" s="629"/>
      <c r="O38" s="629"/>
      <c r="P38" s="629"/>
      <c r="Q38" s="629"/>
      <c r="R38" s="629"/>
      <c r="S38" s="649"/>
      <c r="T38" s="650"/>
      <c r="U38" s="650"/>
      <c r="V38" s="650"/>
      <c r="W38" s="650"/>
      <c r="X38" s="650"/>
      <c r="Y38" s="650"/>
      <c r="Z38" s="651"/>
      <c r="AE38" s="155"/>
      <c r="AF38" s="155"/>
      <c r="AG38" s="155"/>
    </row>
    <row r="39" spans="2:33" ht="25" customHeight="1">
      <c r="B39" s="625" t="s">
        <v>102</v>
      </c>
      <c r="C39" s="625"/>
      <c r="D39" s="625"/>
      <c r="E39" s="625"/>
      <c r="F39" s="625"/>
      <c r="G39" s="625"/>
      <c r="H39" s="625"/>
      <c r="I39" s="625"/>
      <c r="J39" s="625" t="s">
        <v>101</v>
      </c>
      <c r="K39" s="625"/>
      <c r="L39" s="625"/>
      <c r="M39" s="625"/>
      <c r="N39" s="625"/>
      <c r="O39" s="625"/>
      <c r="P39" s="662" t="s">
        <v>100</v>
      </c>
      <c r="Q39" s="662"/>
      <c r="R39" s="662"/>
      <c r="S39" s="649"/>
      <c r="T39" s="650"/>
      <c r="U39" s="650"/>
      <c r="V39" s="650"/>
      <c r="W39" s="650"/>
      <c r="X39" s="650"/>
      <c r="Y39" s="650"/>
      <c r="Z39" s="651"/>
      <c r="AE39" s="155"/>
      <c r="AF39" s="155"/>
      <c r="AG39" s="155"/>
    </row>
    <row r="40" spans="2:33" ht="25" customHeight="1">
      <c r="B40" s="629" t="s">
        <v>99</v>
      </c>
      <c r="C40" s="629"/>
      <c r="D40" s="629"/>
      <c r="E40" s="629"/>
      <c r="F40" s="629"/>
      <c r="G40" s="629"/>
      <c r="H40" s="629"/>
      <c r="I40" s="629"/>
      <c r="J40" s="652" t="s">
        <v>98</v>
      </c>
      <c r="K40" s="652"/>
      <c r="L40" s="652"/>
      <c r="M40" s="652"/>
      <c r="N40" s="652"/>
      <c r="O40" s="652"/>
      <c r="P40" s="652"/>
      <c r="Q40" s="652"/>
      <c r="R40" s="652"/>
      <c r="S40" s="649"/>
      <c r="T40" s="650"/>
      <c r="U40" s="650"/>
      <c r="V40" s="650"/>
      <c r="W40" s="650"/>
      <c r="X40" s="650"/>
      <c r="Y40" s="650"/>
      <c r="Z40" s="651"/>
      <c r="AE40" s="155"/>
      <c r="AF40" s="155"/>
      <c r="AG40" s="155"/>
    </row>
    <row r="41" spans="2:33" ht="9.75" customHeight="1">
      <c r="B41" s="158"/>
      <c r="C41" s="158"/>
      <c r="D41" s="158"/>
      <c r="E41" s="158"/>
      <c r="F41" s="158"/>
      <c r="AE41" s="155"/>
      <c r="AF41" s="156"/>
      <c r="AG41" s="155"/>
    </row>
    <row r="42" spans="2:33" ht="25" customHeight="1">
      <c r="B42" s="159"/>
      <c r="C42" s="159"/>
      <c r="D42" s="159"/>
      <c r="E42" s="159"/>
      <c r="F42" s="159"/>
      <c r="N42" s="158"/>
      <c r="O42" s="158"/>
      <c r="P42" s="158"/>
      <c r="Q42" s="158"/>
      <c r="R42" s="157"/>
      <c r="S42" s="157"/>
      <c r="T42" s="157"/>
      <c r="U42" s="157"/>
      <c r="V42" s="157"/>
      <c r="W42" s="157"/>
      <c r="X42" s="157"/>
      <c r="Y42" s="157"/>
      <c r="Z42" s="157"/>
      <c r="AE42" s="155"/>
      <c r="AF42" s="156"/>
      <c r="AG42" s="155"/>
    </row>
    <row r="43" spans="2:33" ht="25" customHeight="1">
      <c r="S43" s="157"/>
      <c r="T43" s="157"/>
      <c r="U43" s="157"/>
      <c r="V43" s="157"/>
      <c r="AE43" s="155"/>
      <c r="AF43" s="156"/>
      <c r="AG43" s="155"/>
    </row>
    <row r="44" spans="2:33" ht="25" customHeight="1">
      <c r="AE44" s="155"/>
      <c r="AF44" s="156"/>
      <c r="AG44" s="155"/>
    </row>
  </sheetData>
  <protectedRanges>
    <protectedRange sqref="P25" name="範囲18"/>
    <protectedRange sqref="O27" name="範囲17"/>
    <protectedRange sqref="E25" name="範囲15"/>
    <protectedRange sqref="G19:Y19" name="範囲13"/>
    <protectedRange sqref="G18:L18" name="範囲11"/>
    <protectedRange sqref="S16:W16" name="範囲9"/>
    <protectedRange sqref="G11:Y15" name="範囲7"/>
    <protectedRange sqref="X6:Y7" name="範囲5"/>
    <protectedRange sqref="I9" name="範囲3"/>
    <protectedRange sqref="E6:M8" name="範囲1"/>
    <protectedRange sqref="G9" name="範囲2"/>
    <protectedRange sqref="K9" name="範囲4"/>
    <protectedRange sqref="P8:Y9" name="範囲6"/>
    <protectedRange sqref="G16:N16" name="範囲8"/>
    <protectedRange sqref="T17:Y17 Q17:R17" name="範囲10"/>
    <protectedRange sqref="Q18:Y18" name="範囲12"/>
    <protectedRange sqref="C23:G23" name="範囲14"/>
    <protectedRange sqref="N25" name="範囲16"/>
  </protectedRanges>
  <mergeCells count="79">
    <mergeCell ref="E6:M6"/>
    <mergeCell ref="E7:M8"/>
    <mergeCell ref="G37:R37"/>
    <mergeCell ref="P39:R39"/>
    <mergeCell ref="L25:X25"/>
    <mergeCell ref="C20:F20"/>
    <mergeCell ref="G10:Y10"/>
    <mergeCell ref="C14:F14"/>
    <mergeCell ref="C10:F10"/>
    <mergeCell ref="C11:F11"/>
    <mergeCell ref="C12:F12"/>
    <mergeCell ref="C13:F13"/>
    <mergeCell ref="G12:Y12"/>
    <mergeCell ref="C16:F16"/>
    <mergeCell ref="C15:F15"/>
    <mergeCell ref="G17:M17"/>
    <mergeCell ref="B34:Z34"/>
    <mergeCell ref="C18:F18"/>
    <mergeCell ref="B36:M36"/>
    <mergeCell ref="B39:I39"/>
    <mergeCell ref="B37:F37"/>
    <mergeCell ref="S36:Z40"/>
    <mergeCell ref="C19:F19"/>
    <mergeCell ref="P40:R40"/>
    <mergeCell ref="J40:O40"/>
    <mergeCell ref="L26:W26"/>
    <mergeCell ref="C22:Y22"/>
    <mergeCell ref="N36:R36"/>
    <mergeCell ref="B38:F38"/>
    <mergeCell ref="G38:R38"/>
    <mergeCell ref="J39:O39"/>
    <mergeCell ref="B40:I40"/>
    <mergeCell ref="S2:Z2"/>
    <mergeCell ref="G13:Y13"/>
    <mergeCell ref="N35:R35"/>
    <mergeCell ref="C23:G23"/>
    <mergeCell ref="G15:Y15"/>
    <mergeCell ref="S35:Z35"/>
    <mergeCell ref="M18:P18"/>
    <mergeCell ref="W8:W9"/>
    <mergeCell ref="G16:N16"/>
    <mergeCell ref="M20:P20"/>
    <mergeCell ref="G14:Y14"/>
    <mergeCell ref="P2:R2"/>
    <mergeCell ref="B35:M35"/>
    <mergeCell ref="P8:P9"/>
    <mergeCell ref="G11:Y11"/>
    <mergeCell ref="C17:F17"/>
    <mergeCell ref="G20:L20"/>
    <mergeCell ref="G19:Y19"/>
    <mergeCell ref="Q18:Y18"/>
    <mergeCell ref="G18:L18"/>
    <mergeCell ref="Q17:Y17"/>
    <mergeCell ref="X8:X9"/>
    <mergeCell ref="U6:U7"/>
    <mergeCell ref="AA14:AA29"/>
    <mergeCell ref="Q20:Y20"/>
    <mergeCell ref="S16:W16"/>
    <mergeCell ref="P27:W27"/>
    <mergeCell ref="S8:S9"/>
    <mergeCell ref="Q8:Q9"/>
    <mergeCell ref="R8:R9"/>
    <mergeCell ref="N17:P17"/>
    <mergeCell ref="T3:Y3"/>
    <mergeCell ref="P6:S7"/>
    <mergeCell ref="C4:Y4"/>
    <mergeCell ref="C6:C9"/>
    <mergeCell ref="N8:O9"/>
    <mergeCell ref="D7:D8"/>
    <mergeCell ref="N6:O7"/>
    <mergeCell ref="Y6:Y7"/>
    <mergeCell ref="Y8:Y9"/>
    <mergeCell ref="T6:T7"/>
    <mergeCell ref="T8:T9"/>
    <mergeCell ref="U8:U9"/>
    <mergeCell ref="V6:V7"/>
    <mergeCell ref="W6:W7"/>
    <mergeCell ref="X6:X7"/>
    <mergeCell ref="V8:V9"/>
  </mergeCells>
  <phoneticPr fontId="3"/>
  <pageMargins left="0.6692913385826772" right="0.23622047244094491" top="0.27559055118110237" bottom="0.19685039370078741" header="0.35433070866141736" footer="0.19685039370078741"/>
  <pageSetup paperSize="9" scale="98" orientation="portrait" horizontalDpi="4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DFB11-8F0F-4C8E-9EAF-00C44A39B457}">
  <sheetPr>
    <tabColor rgb="FF00B0F0"/>
  </sheetPr>
  <dimension ref="B1:AG49"/>
  <sheetViews>
    <sheetView view="pageBreakPreview" zoomScale="128" zoomScaleNormal="75" zoomScaleSheetLayoutView="75" workbookViewId="0">
      <selection activeCell="G12" sqref="G12:Y12"/>
    </sheetView>
  </sheetViews>
  <sheetFormatPr defaultColWidth="9" defaultRowHeight="13"/>
  <cols>
    <col min="1" max="1" width="9.36328125" style="237" customWidth="1"/>
    <col min="2" max="2" width="1.6328125" style="237" customWidth="1"/>
    <col min="3" max="3" width="3.1796875" style="237" customWidth="1"/>
    <col min="4" max="4" width="9" style="237"/>
    <col min="5" max="5" width="4" style="237" customWidth="1"/>
    <col min="6" max="9" width="4.1796875" style="237" customWidth="1"/>
    <col min="10" max="10" width="3.453125" style="237" customWidth="1"/>
    <col min="11" max="11" width="3.6328125" style="237" customWidth="1"/>
    <col min="12" max="12" width="3.1796875" style="237" customWidth="1"/>
    <col min="13" max="13" width="4.453125" style="237" customWidth="1"/>
    <col min="14" max="14" width="4.36328125" style="237" customWidth="1"/>
    <col min="15" max="15" width="7.36328125" style="237" customWidth="1"/>
    <col min="16" max="16" width="3" style="237" customWidth="1"/>
    <col min="17" max="17" width="2.81640625" style="237" customWidth="1"/>
    <col min="18" max="25" width="2.6328125" style="237" customWidth="1"/>
    <col min="26" max="26" width="1.6328125" style="237" customWidth="1"/>
    <col min="27" max="28" width="2.6328125" style="237" customWidth="1"/>
    <col min="29" max="30" width="9" style="237"/>
    <col min="31" max="31" width="16.6328125" style="237" customWidth="1"/>
    <col min="32" max="32" width="9" style="237"/>
    <col min="33" max="33" width="23" style="237" customWidth="1"/>
    <col min="34" max="16384" width="9" style="237"/>
  </cols>
  <sheetData>
    <row r="1" spans="2:28" ht="5.25" customHeight="1" thickBot="1"/>
    <row r="2" spans="2:28" ht="19.5" customHeight="1" thickBot="1">
      <c r="C2" s="237" t="s">
        <v>204</v>
      </c>
      <c r="P2" s="753" t="s">
        <v>155</v>
      </c>
      <c r="Q2" s="754"/>
      <c r="R2" s="755"/>
      <c r="S2" s="708"/>
      <c r="T2" s="709"/>
      <c r="U2" s="709"/>
      <c r="V2" s="709"/>
      <c r="W2" s="709"/>
      <c r="X2" s="709"/>
      <c r="Y2" s="709"/>
      <c r="Z2" s="710"/>
    </row>
    <row r="3" spans="2:28" ht="12.75" customHeight="1">
      <c r="B3" s="297"/>
      <c r="C3" s="296"/>
      <c r="D3" s="295"/>
      <c r="E3" s="295"/>
      <c r="F3" s="295"/>
      <c r="G3" s="295"/>
      <c r="H3" s="295"/>
      <c r="I3" s="295"/>
      <c r="J3" s="295"/>
      <c r="K3" s="295"/>
      <c r="L3" s="295"/>
      <c r="M3" s="295"/>
      <c r="N3" s="295"/>
      <c r="O3" s="295"/>
      <c r="P3" s="294"/>
      <c r="T3" s="711"/>
      <c r="U3" s="711"/>
      <c r="V3" s="711"/>
      <c r="W3" s="711"/>
      <c r="X3" s="711"/>
      <c r="Y3" s="711"/>
      <c r="Z3" s="257"/>
    </row>
    <row r="4" spans="2:28" ht="27" customHeight="1">
      <c r="B4" s="259"/>
      <c r="C4" s="757" t="s">
        <v>203</v>
      </c>
      <c r="D4" s="757"/>
      <c r="E4" s="757"/>
      <c r="F4" s="757"/>
      <c r="G4" s="757"/>
      <c r="H4" s="757"/>
      <c r="I4" s="757"/>
      <c r="J4" s="757"/>
      <c r="K4" s="757"/>
      <c r="L4" s="757"/>
      <c r="M4" s="757"/>
      <c r="N4" s="757"/>
      <c r="O4" s="757"/>
      <c r="P4" s="757"/>
      <c r="Q4" s="758"/>
      <c r="R4" s="758"/>
      <c r="S4" s="758"/>
      <c r="T4" s="758"/>
      <c r="U4" s="758"/>
      <c r="V4" s="758"/>
      <c r="W4" s="758"/>
      <c r="X4" s="758"/>
      <c r="Y4" s="758"/>
      <c r="Z4" s="257"/>
    </row>
    <row r="5" spans="2:28" ht="7.5" customHeight="1">
      <c r="B5" s="259"/>
      <c r="Z5" s="257"/>
      <c r="AA5" s="292"/>
    </row>
    <row r="6" spans="2:28" s="275" customFormat="1" ht="15.75" customHeight="1">
      <c r="B6" s="291"/>
      <c r="C6" s="744" t="s">
        <v>153</v>
      </c>
      <c r="D6" s="293" t="s">
        <v>152</v>
      </c>
      <c r="E6" s="613">
        <f>基本情報!B4</f>
        <v>0</v>
      </c>
      <c r="F6" s="614"/>
      <c r="G6" s="614"/>
      <c r="H6" s="614"/>
      <c r="I6" s="614"/>
      <c r="J6" s="614"/>
      <c r="K6" s="614"/>
      <c r="L6" s="614"/>
      <c r="M6" s="615"/>
      <c r="N6" s="680" t="s">
        <v>151</v>
      </c>
      <c r="O6" s="682"/>
      <c r="P6" s="689"/>
      <c r="Q6" s="690"/>
      <c r="R6" s="690"/>
      <c r="S6" s="691"/>
      <c r="T6" s="665">
        <v>4</v>
      </c>
      <c r="U6" s="665">
        <v>0</v>
      </c>
      <c r="V6" s="665">
        <v>1</v>
      </c>
      <c r="W6" s="665">
        <v>3</v>
      </c>
      <c r="X6" s="667"/>
      <c r="Y6" s="667"/>
      <c r="Z6" s="290"/>
      <c r="AA6" s="292"/>
    </row>
    <row r="7" spans="2:28" s="275" customFormat="1" ht="16.5" customHeight="1">
      <c r="B7" s="291"/>
      <c r="C7" s="744"/>
      <c r="D7" s="664" t="s">
        <v>150</v>
      </c>
      <c r="E7" s="658">
        <f>基本情報!B3</f>
        <v>0</v>
      </c>
      <c r="F7" s="611"/>
      <c r="G7" s="611"/>
      <c r="H7" s="611"/>
      <c r="I7" s="611"/>
      <c r="J7" s="611"/>
      <c r="K7" s="611"/>
      <c r="L7" s="611"/>
      <c r="M7" s="659"/>
      <c r="N7" s="680"/>
      <c r="O7" s="682"/>
      <c r="P7" s="692"/>
      <c r="Q7" s="693"/>
      <c r="R7" s="693"/>
      <c r="S7" s="694"/>
      <c r="T7" s="666"/>
      <c r="U7" s="666"/>
      <c r="V7" s="666"/>
      <c r="W7" s="666"/>
      <c r="X7" s="668"/>
      <c r="Y7" s="668"/>
      <c r="Z7" s="290"/>
      <c r="AA7" s="292"/>
    </row>
    <row r="8" spans="2:28" s="275" customFormat="1" ht="16.5" customHeight="1">
      <c r="B8" s="291"/>
      <c r="C8" s="744"/>
      <c r="D8" s="664"/>
      <c r="E8" s="660"/>
      <c r="F8" s="628"/>
      <c r="G8" s="628"/>
      <c r="H8" s="628"/>
      <c r="I8" s="628"/>
      <c r="J8" s="628"/>
      <c r="K8" s="628"/>
      <c r="L8" s="628"/>
      <c r="M8" s="661"/>
      <c r="N8" s="745" t="s">
        <v>216</v>
      </c>
      <c r="O8" s="746"/>
      <c r="P8" s="605" t="str">
        <f>MID(基本情報!B7,1,1)</f>
        <v/>
      </c>
      <c r="Q8" s="605" t="str">
        <f>MID(基本情報!B7,2,1)</f>
        <v/>
      </c>
      <c r="R8" s="605" t="str">
        <f>MID(基本情報!B7,3,1)</f>
        <v/>
      </c>
      <c r="S8" s="605" t="str">
        <f>MID(基本情報!B7,4,1)</f>
        <v/>
      </c>
      <c r="T8" s="605" t="str">
        <f>MID(基本情報!B7,5,1)</f>
        <v/>
      </c>
      <c r="U8" s="605" t="str">
        <f>MID(基本情報!B7,6,1)</f>
        <v/>
      </c>
      <c r="V8" s="605" t="str">
        <f>MID(基本情報!B7,7,1)</f>
        <v/>
      </c>
      <c r="W8" s="605" t="str">
        <f>MID(基本情報!B7,8,1)</f>
        <v/>
      </c>
      <c r="X8" s="605" t="str">
        <f>MID(基本情報!B7,9,1)</f>
        <v/>
      </c>
      <c r="Y8" s="605" t="str">
        <f>MID(基本情報!B7,10,1)</f>
        <v/>
      </c>
      <c r="Z8" s="290"/>
      <c r="AA8" s="292"/>
    </row>
    <row r="9" spans="2:28" s="275" customFormat="1" ht="16.5" customHeight="1">
      <c r="B9" s="291"/>
      <c r="C9" s="744"/>
      <c r="D9" s="245" t="s">
        <v>148</v>
      </c>
      <c r="E9" s="712" t="s">
        <v>202</v>
      </c>
      <c r="F9" s="713"/>
      <c r="G9" s="411"/>
      <c r="H9" s="412">
        <f>基本情報!C9</f>
        <v>0</v>
      </c>
      <c r="I9" s="413" t="s">
        <v>146</v>
      </c>
      <c r="J9" s="412">
        <f>基本情報!E9</f>
        <v>0</v>
      </c>
      <c r="K9" s="414" t="s">
        <v>195</v>
      </c>
      <c r="L9" s="412">
        <f>基本情報!G9</f>
        <v>0</v>
      </c>
      <c r="M9" s="415" t="s">
        <v>201</v>
      </c>
      <c r="N9" s="747"/>
      <c r="O9" s="748"/>
      <c r="P9" s="606"/>
      <c r="Q9" s="606"/>
      <c r="R9" s="606"/>
      <c r="S9" s="606"/>
      <c r="T9" s="606"/>
      <c r="U9" s="606"/>
      <c r="V9" s="606"/>
      <c r="W9" s="606"/>
      <c r="X9" s="606"/>
      <c r="Y9" s="606"/>
      <c r="Z9" s="290"/>
      <c r="AA9" s="292"/>
    </row>
    <row r="10" spans="2:28" s="275" customFormat="1" ht="20.25" customHeight="1">
      <c r="B10" s="291"/>
      <c r="C10" s="680" t="s">
        <v>84</v>
      </c>
      <c r="D10" s="681"/>
      <c r="E10" s="681"/>
      <c r="F10" s="682"/>
      <c r="G10" s="680" t="s">
        <v>143</v>
      </c>
      <c r="H10" s="681"/>
      <c r="I10" s="681"/>
      <c r="J10" s="681"/>
      <c r="K10" s="681"/>
      <c r="L10" s="681"/>
      <c r="M10" s="681"/>
      <c r="N10" s="681"/>
      <c r="O10" s="681"/>
      <c r="P10" s="681"/>
      <c r="Q10" s="681"/>
      <c r="R10" s="681"/>
      <c r="S10" s="681"/>
      <c r="T10" s="681"/>
      <c r="U10" s="681"/>
      <c r="V10" s="681"/>
      <c r="W10" s="681"/>
      <c r="X10" s="681"/>
      <c r="Y10" s="682"/>
      <c r="Z10" s="290"/>
      <c r="AA10" s="292"/>
    </row>
    <row r="11" spans="2:28" s="275" customFormat="1" ht="22" customHeight="1">
      <c r="B11" s="291"/>
      <c r="C11" s="680" t="s">
        <v>142</v>
      </c>
      <c r="D11" s="681"/>
      <c r="E11" s="681"/>
      <c r="F11" s="682"/>
      <c r="G11" s="765"/>
      <c r="H11" s="766"/>
      <c r="I11" s="766"/>
      <c r="J11" s="766"/>
      <c r="K11" s="766"/>
      <c r="L11" s="766"/>
      <c r="M11" s="766"/>
      <c r="N11" s="766"/>
      <c r="O11" s="766"/>
      <c r="P11" s="766"/>
      <c r="Q11" s="766"/>
      <c r="R11" s="766"/>
      <c r="S11" s="766"/>
      <c r="T11" s="766"/>
      <c r="U11" s="766"/>
      <c r="V11" s="766"/>
      <c r="W11" s="766"/>
      <c r="X11" s="766"/>
      <c r="Y11" s="767"/>
      <c r="Z11" s="290"/>
      <c r="AA11" s="292"/>
    </row>
    <row r="12" spans="2:28" s="275" customFormat="1" ht="22" customHeight="1">
      <c r="B12" s="291"/>
      <c r="C12" s="680" t="s">
        <v>141</v>
      </c>
      <c r="D12" s="681"/>
      <c r="E12" s="681"/>
      <c r="F12" s="682"/>
      <c r="G12" s="765"/>
      <c r="H12" s="766"/>
      <c r="I12" s="766"/>
      <c r="J12" s="766"/>
      <c r="K12" s="766"/>
      <c r="L12" s="766"/>
      <c r="M12" s="766"/>
      <c r="N12" s="766"/>
      <c r="O12" s="766"/>
      <c r="P12" s="766"/>
      <c r="Q12" s="766"/>
      <c r="R12" s="766"/>
      <c r="S12" s="766"/>
      <c r="T12" s="766"/>
      <c r="U12" s="766"/>
      <c r="V12" s="766"/>
      <c r="W12" s="766"/>
      <c r="X12" s="766"/>
      <c r="Y12" s="767"/>
      <c r="Z12" s="290"/>
      <c r="AA12" s="292"/>
    </row>
    <row r="13" spans="2:28" s="275" customFormat="1" ht="22" customHeight="1">
      <c r="B13" s="291"/>
      <c r="C13" s="732" t="s">
        <v>140</v>
      </c>
      <c r="D13" s="733"/>
      <c r="E13" s="733"/>
      <c r="F13" s="734"/>
      <c r="G13" s="741"/>
      <c r="H13" s="742"/>
      <c r="I13" s="742"/>
      <c r="J13" s="742"/>
      <c r="K13" s="742"/>
      <c r="L13" s="742"/>
      <c r="M13" s="742"/>
      <c r="N13" s="742"/>
      <c r="O13" s="742"/>
      <c r="P13" s="742"/>
      <c r="Q13" s="742"/>
      <c r="R13" s="742"/>
      <c r="S13" s="742"/>
      <c r="T13" s="742"/>
      <c r="U13" s="742"/>
      <c r="V13" s="742"/>
      <c r="W13" s="742"/>
      <c r="X13" s="742"/>
      <c r="Y13" s="743"/>
      <c r="Z13" s="290"/>
      <c r="AA13" s="768" t="s">
        <v>200</v>
      </c>
      <c r="AB13" s="749" t="s">
        <v>364</v>
      </c>
    </row>
    <row r="14" spans="2:28" s="275" customFormat="1" ht="22" customHeight="1">
      <c r="B14" s="291"/>
      <c r="C14" s="732" t="s">
        <v>139</v>
      </c>
      <c r="D14" s="733"/>
      <c r="E14" s="733"/>
      <c r="F14" s="734"/>
      <c r="G14" s="741"/>
      <c r="H14" s="742"/>
      <c r="I14" s="742"/>
      <c r="J14" s="742"/>
      <c r="K14" s="742"/>
      <c r="L14" s="742"/>
      <c r="M14" s="742"/>
      <c r="N14" s="742"/>
      <c r="O14" s="742"/>
      <c r="P14" s="742"/>
      <c r="Q14" s="742"/>
      <c r="R14" s="742"/>
      <c r="S14" s="742"/>
      <c r="T14" s="742"/>
      <c r="U14" s="742"/>
      <c r="V14" s="742"/>
      <c r="W14" s="742"/>
      <c r="X14" s="742"/>
      <c r="Y14" s="743"/>
      <c r="Z14" s="290"/>
      <c r="AA14" s="769"/>
      <c r="AB14" s="750"/>
    </row>
    <row r="15" spans="2:28" s="275" customFormat="1" ht="22" customHeight="1">
      <c r="B15" s="291"/>
      <c r="C15" s="732" t="s">
        <v>137</v>
      </c>
      <c r="D15" s="733"/>
      <c r="E15" s="733"/>
      <c r="F15" s="734"/>
      <c r="G15" s="741"/>
      <c r="H15" s="742"/>
      <c r="I15" s="742"/>
      <c r="J15" s="742"/>
      <c r="K15" s="742"/>
      <c r="L15" s="742"/>
      <c r="M15" s="742"/>
      <c r="N15" s="742"/>
      <c r="O15" s="742"/>
      <c r="P15" s="742"/>
      <c r="Q15" s="742"/>
      <c r="R15" s="742"/>
      <c r="S15" s="742"/>
      <c r="T15" s="742"/>
      <c r="U15" s="742"/>
      <c r="V15" s="742"/>
      <c r="W15" s="742"/>
      <c r="X15" s="742"/>
      <c r="Y15" s="743"/>
      <c r="Z15" s="290"/>
      <c r="AA15" s="769"/>
      <c r="AB15" s="750"/>
    </row>
    <row r="16" spans="2:28" s="275" customFormat="1" ht="22" customHeight="1">
      <c r="B16" s="259"/>
      <c r="C16" s="714" t="s">
        <v>127</v>
      </c>
      <c r="D16" s="714"/>
      <c r="E16" s="714"/>
      <c r="F16" s="715" t="s">
        <v>332</v>
      </c>
      <c r="G16" s="716"/>
      <c r="H16" s="716"/>
      <c r="I16" s="716"/>
      <c r="J16" s="716"/>
      <c r="K16" s="716"/>
      <c r="L16" s="717"/>
      <c r="M16" s="714" t="s">
        <v>199</v>
      </c>
      <c r="N16" s="714"/>
      <c r="O16" s="714"/>
      <c r="P16" s="779"/>
      <c r="Q16" s="780"/>
      <c r="R16" s="780"/>
      <c r="S16" s="780"/>
      <c r="T16" s="780"/>
      <c r="U16" s="288" t="s">
        <v>146</v>
      </c>
      <c r="V16" s="287"/>
      <c r="W16" s="288" t="s">
        <v>363</v>
      </c>
      <c r="X16" s="287"/>
      <c r="Y16" s="289" t="s">
        <v>194</v>
      </c>
      <c r="Z16" s="257"/>
      <c r="AA16" s="769"/>
      <c r="AB16" s="750"/>
    </row>
    <row r="17" spans="2:29" s="275" customFormat="1" ht="22" customHeight="1">
      <c r="B17" s="259"/>
      <c r="C17" s="732" t="s">
        <v>198</v>
      </c>
      <c r="D17" s="733"/>
      <c r="E17" s="734"/>
      <c r="F17" s="763"/>
      <c r="G17" s="764"/>
      <c r="H17" s="764"/>
      <c r="I17" s="764"/>
      <c r="J17" s="764"/>
      <c r="K17" s="764"/>
      <c r="L17" s="249" t="s">
        <v>46</v>
      </c>
      <c r="M17" s="714" t="s">
        <v>197</v>
      </c>
      <c r="N17" s="714"/>
      <c r="O17" s="714"/>
      <c r="P17" s="779"/>
      <c r="Q17" s="780"/>
      <c r="R17" s="780"/>
      <c r="S17" s="780"/>
      <c r="T17" s="780"/>
      <c r="U17" s="288" t="s">
        <v>146</v>
      </c>
      <c r="V17" s="287"/>
      <c r="W17" s="288" t="s">
        <v>363</v>
      </c>
      <c r="X17" s="287"/>
      <c r="Y17" s="286" t="s">
        <v>194</v>
      </c>
      <c r="Z17" s="257"/>
      <c r="AA17" s="769"/>
      <c r="AB17" s="750"/>
    </row>
    <row r="18" spans="2:29" s="283" customFormat="1" ht="22" customHeight="1">
      <c r="B18" s="285"/>
      <c r="C18" s="777" t="s">
        <v>362</v>
      </c>
      <c r="D18" s="778"/>
      <c r="E18" s="778"/>
      <c r="F18" s="778"/>
      <c r="G18" s="778"/>
      <c r="H18" s="778"/>
      <c r="I18" s="778"/>
      <c r="J18" s="778"/>
      <c r="K18" s="778"/>
      <c r="L18" s="778"/>
      <c r="M18" s="778"/>
      <c r="N18" s="778"/>
      <c r="O18" s="778"/>
      <c r="P18" s="778"/>
      <c r="Q18" s="778"/>
      <c r="R18" s="778"/>
      <c r="S18" s="778"/>
      <c r="T18" s="778"/>
      <c r="U18" s="778"/>
      <c r="V18" s="776" t="s">
        <v>361</v>
      </c>
      <c r="W18" s="776"/>
      <c r="X18" s="776"/>
      <c r="Y18" s="776"/>
      <c r="Z18" s="284"/>
      <c r="AA18" s="769"/>
      <c r="AB18" s="750"/>
      <c r="AC18" s="275"/>
    </row>
    <row r="19" spans="2:29" s="275" customFormat="1" ht="25" customHeight="1">
      <c r="B19" s="259"/>
      <c r="C19" s="237"/>
      <c r="D19" s="762" t="s">
        <v>196</v>
      </c>
      <c r="E19" s="762"/>
      <c r="F19" s="762"/>
      <c r="G19" s="762"/>
      <c r="H19" s="762"/>
      <c r="I19" s="762"/>
      <c r="J19" s="762"/>
      <c r="K19" s="762"/>
      <c r="L19" s="762"/>
      <c r="M19" s="762"/>
      <c r="N19" s="762"/>
      <c r="O19" s="762"/>
      <c r="P19" s="762"/>
      <c r="Q19" s="762"/>
      <c r="R19" s="762"/>
      <c r="S19" s="762"/>
      <c r="T19" s="762"/>
      <c r="U19" s="762"/>
      <c r="V19" s="762"/>
      <c r="W19" s="762"/>
      <c r="X19" s="762"/>
      <c r="Y19" s="762"/>
      <c r="Z19" s="257"/>
      <c r="AA19" s="769"/>
      <c r="AB19" s="750"/>
    </row>
    <row r="20" spans="2:29" s="275" customFormat="1" ht="18.75" customHeight="1">
      <c r="B20" s="259"/>
      <c r="C20" s="759" t="s">
        <v>122</v>
      </c>
      <c r="D20" s="759"/>
      <c r="E20" s="759"/>
      <c r="F20" s="759"/>
      <c r="G20" s="759"/>
      <c r="H20" s="280"/>
      <c r="I20" s="237"/>
      <c r="J20" s="237"/>
      <c r="K20" s="237"/>
      <c r="L20" s="237"/>
      <c r="M20" s="237"/>
      <c r="N20" s="237"/>
      <c r="O20" s="237"/>
      <c r="P20" s="237"/>
      <c r="Q20" s="237"/>
      <c r="R20" s="237"/>
      <c r="S20" s="237"/>
      <c r="T20" s="237"/>
      <c r="U20" s="237"/>
      <c r="V20" s="237"/>
      <c r="W20" s="237"/>
      <c r="X20" s="237"/>
      <c r="Y20" s="237"/>
      <c r="Z20" s="257"/>
      <c r="AA20" s="769"/>
      <c r="AB20" s="750"/>
    </row>
    <row r="21" spans="2:29" ht="15" customHeight="1">
      <c r="B21" s="259"/>
      <c r="C21" s="282" t="s">
        <v>121</v>
      </c>
      <c r="D21" s="280"/>
      <c r="E21" s="280"/>
      <c r="F21" s="280"/>
      <c r="G21" s="280"/>
      <c r="Z21" s="257"/>
      <c r="AA21" s="769"/>
      <c r="AB21" s="750"/>
    </row>
    <row r="22" spans="2:29" ht="30" customHeight="1">
      <c r="B22" s="259"/>
      <c r="D22" s="278" t="s">
        <v>120</v>
      </c>
      <c r="E22" s="281"/>
      <c r="F22" s="237" t="s">
        <v>119</v>
      </c>
      <c r="H22" s="237" t="s">
        <v>118</v>
      </c>
      <c r="J22" s="237" t="s">
        <v>193</v>
      </c>
      <c r="L22" s="663">
        <f>基本情報!B5</f>
        <v>0</v>
      </c>
      <c r="M22" s="663"/>
      <c r="N22" s="663"/>
      <c r="O22" s="663"/>
      <c r="P22" s="663"/>
      <c r="Q22" s="663"/>
      <c r="R22" s="663"/>
      <c r="S22" s="663"/>
      <c r="T22" s="663"/>
      <c r="U22" s="663"/>
      <c r="V22" s="663"/>
      <c r="W22" s="663"/>
      <c r="X22" s="663"/>
      <c r="Z22" s="257"/>
      <c r="AA22" s="769"/>
      <c r="AB22" s="750"/>
    </row>
    <row r="23" spans="2:29" ht="30" customHeight="1">
      <c r="B23" s="259"/>
      <c r="D23" s="278"/>
      <c r="H23" s="277" t="s">
        <v>360</v>
      </c>
      <c r="J23" s="237" t="s">
        <v>192</v>
      </c>
      <c r="L23" s="726"/>
      <c r="M23" s="726"/>
      <c r="N23" s="726"/>
      <c r="O23" s="726"/>
      <c r="P23" s="726"/>
      <c r="Q23" s="726"/>
      <c r="R23" s="726"/>
      <c r="S23" s="726"/>
      <c r="T23" s="726"/>
      <c r="U23" s="726"/>
      <c r="V23" s="726"/>
      <c r="W23" s="726"/>
      <c r="X23" s="279"/>
      <c r="Z23" s="257"/>
      <c r="AA23" s="769"/>
      <c r="AB23" s="750"/>
    </row>
    <row r="24" spans="2:29" ht="12.75" customHeight="1">
      <c r="B24" s="259"/>
      <c r="D24" s="278"/>
      <c r="H24" s="277"/>
      <c r="L24" s="276" t="s">
        <v>114</v>
      </c>
      <c r="M24" s="275"/>
      <c r="N24" s="275"/>
      <c r="O24" s="275" t="s">
        <v>359</v>
      </c>
      <c r="P24" s="275"/>
      <c r="Q24" s="275"/>
      <c r="R24" s="275"/>
      <c r="S24" s="275"/>
      <c r="T24" s="275"/>
      <c r="U24" s="275"/>
      <c r="V24" s="275"/>
      <c r="W24" s="275"/>
      <c r="X24" s="275"/>
      <c r="Z24" s="257"/>
      <c r="AA24" s="769"/>
      <c r="AB24" s="750"/>
    </row>
    <row r="25" spans="2:29" ht="15.75" customHeight="1">
      <c r="B25" s="259"/>
      <c r="H25" s="277"/>
      <c r="L25" s="276"/>
      <c r="M25" s="275"/>
      <c r="N25" s="275"/>
      <c r="O25" s="275"/>
      <c r="P25" s="275"/>
      <c r="Q25" s="275"/>
      <c r="R25" s="275"/>
      <c r="S25" s="275"/>
      <c r="T25" s="275"/>
      <c r="U25" s="275"/>
      <c r="V25" s="275"/>
      <c r="W25" s="275"/>
      <c r="X25" s="275"/>
      <c r="Z25" s="257"/>
      <c r="AA25" s="769"/>
      <c r="AB25" s="750"/>
    </row>
    <row r="26" spans="2:29" ht="15.75" customHeight="1">
      <c r="B26" s="259"/>
      <c r="D26" s="237" t="s">
        <v>191</v>
      </c>
      <c r="H26" s="277"/>
      <c r="L26" s="276"/>
      <c r="M26" s="275"/>
      <c r="N26" s="275"/>
      <c r="O26" s="275"/>
      <c r="P26" s="275"/>
      <c r="Q26" s="275"/>
      <c r="R26" s="275"/>
      <c r="S26" s="275"/>
      <c r="T26" s="275"/>
      <c r="U26" s="275"/>
      <c r="V26" s="275"/>
      <c r="W26" s="275"/>
      <c r="X26" s="275"/>
      <c r="Z26" s="257"/>
      <c r="AA26" s="769"/>
      <c r="AB26" s="750"/>
    </row>
    <row r="27" spans="2:29" ht="18" customHeight="1">
      <c r="B27" s="259"/>
      <c r="C27" s="702" t="s">
        <v>190</v>
      </c>
      <c r="D27" s="739" t="s">
        <v>189</v>
      </c>
      <c r="E27" s="274" t="s">
        <v>365</v>
      </c>
      <c r="F27" s="273"/>
      <c r="G27" s="270"/>
      <c r="H27" s="271"/>
      <c r="I27" s="270"/>
      <c r="J27" s="270"/>
      <c r="K27" s="270"/>
      <c r="L27" s="270"/>
      <c r="M27" s="270"/>
      <c r="N27" s="269"/>
      <c r="O27" s="270"/>
      <c r="P27" s="270"/>
      <c r="Q27" s="270"/>
      <c r="R27" s="270"/>
      <c r="S27" s="270"/>
      <c r="T27" s="270"/>
      <c r="U27" s="270"/>
      <c r="V27" s="270"/>
      <c r="W27" s="270"/>
      <c r="X27" s="270"/>
      <c r="Y27" s="268"/>
      <c r="Z27" s="257"/>
      <c r="AA27" s="769"/>
      <c r="AB27" s="750"/>
    </row>
    <row r="28" spans="2:29" ht="18" customHeight="1">
      <c r="B28" s="259"/>
      <c r="C28" s="703"/>
      <c r="D28" s="740"/>
      <c r="E28" s="298" t="s">
        <v>366</v>
      </c>
      <c r="F28" s="266"/>
      <c r="G28" s="266"/>
      <c r="H28" s="267"/>
      <c r="I28" s="266"/>
      <c r="J28" s="266"/>
      <c r="K28" s="266"/>
      <c r="L28" s="266"/>
      <c r="M28" s="266"/>
      <c r="N28" s="272"/>
      <c r="O28" s="263" t="s">
        <v>367</v>
      </c>
      <c r="P28" s="266"/>
      <c r="Q28" s="266"/>
      <c r="R28" s="266"/>
      <c r="S28" s="266"/>
      <c r="T28" s="266"/>
      <c r="U28" s="266"/>
      <c r="V28" s="266"/>
      <c r="W28" s="266"/>
      <c r="X28" s="266"/>
      <c r="Y28" s="258"/>
      <c r="Z28" s="257"/>
      <c r="AA28" s="769"/>
      <c r="AB28" s="750"/>
    </row>
    <row r="29" spans="2:29" ht="18" customHeight="1">
      <c r="B29" s="259"/>
      <c r="C29" s="703"/>
      <c r="D29" s="739" t="s">
        <v>188</v>
      </c>
      <c r="E29" s="727" t="s">
        <v>332</v>
      </c>
      <c r="F29" s="724"/>
      <c r="G29" s="724"/>
      <c r="H29" s="724"/>
      <c r="I29" s="724"/>
      <c r="J29" s="724"/>
      <c r="K29" s="724"/>
      <c r="L29" s="730"/>
      <c r="M29" s="791" t="s">
        <v>187</v>
      </c>
      <c r="N29" s="724"/>
      <c r="O29" s="730"/>
      <c r="P29" s="727" t="s">
        <v>368</v>
      </c>
      <c r="Q29" s="724"/>
      <c r="R29" s="724"/>
      <c r="S29" s="724"/>
      <c r="T29" s="724"/>
      <c r="U29" s="724"/>
      <c r="V29" s="724"/>
      <c r="W29" s="724"/>
      <c r="X29" s="724"/>
      <c r="Y29" s="730"/>
      <c r="Z29" s="257"/>
      <c r="AA29" s="769"/>
      <c r="AB29" s="750"/>
    </row>
    <row r="30" spans="2:29" ht="18" customHeight="1">
      <c r="B30" s="259"/>
      <c r="C30" s="703"/>
      <c r="D30" s="740"/>
      <c r="E30" s="728"/>
      <c r="F30" s="725"/>
      <c r="G30" s="725"/>
      <c r="H30" s="725"/>
      <c r="I30" s="725"/>
      <c r="J30" s="725"/>
      <c r="K30" s="725"/>
      <c r="L30" s="731"/>
      <c r="M30" s="728"/>
      <c r="N30" s="725"/>
      <c r="O30" s="731"/>
      <c r="P30" s="728"/>
      <c r="Q30" s="725"/>
      <c r="R30" s="725"/>
      <c r="S30" s="725"/>
      <c r="T30" s="725"/>
      <c r="U30" s="725"/>
      <c r="V30" s="725"/>
      <c r="W30" s="725"/>
      <c r="X30" s="725"/>
      <c r="Y30" s="731"/>
      <c r="Z30" s="257"/>
      <c r="AA30" s="769"/>
      <c r="AB30" s="750"/>
    </row>
    <row r="31" spans="2:29" ht="16.5" customHeight="1">
      <c r="B31" s="259"/>
      <c r="C31" s="704"/>
      <c r="D31" s="706" t="s">
        <v>186</v>
      </c>
      <c r="E31" s="727" t="s">
        <v>334</v>
      </c>
      <c r="F31" s="724"/>
      <c r="G31" s="724"/>
      <c r="H31" s="724"/>
      <c r="I31" s="724"/>
      <c r="J31" s="724"/>
      <c r="K31" s="724"/>
      <c r="L31" s="724"/>
      <c r="M31" s="265" t="s">
        <v>358</v>
      </c>
      <c r="N31" s="723" t="s">
        <v>335</v>
      </c>
      <c r="O31" s="724"/>
      <c r="P31" s="724"/>
      <c r="Q31" s="724"/>
      <c r="R31" s="724"/>
      <c r="S31" s="724"/>
      <c r="T31" s="724"/>
      <c r="U31" s="724"/>
      <c r="V31" s="724"/>
      <c r="W31" s="724"/>
      <c r="X31" s="265"/>
      <c r="Y31" s="264" t="s">
        <v>357</v>
      </c>
      <c r="Z31" s="257"/>
      <c r="AA31" s="769"/>
      <c r="AB31" s="750"/>
    </row>
    <row r="32" spans="2:29" ht="16.5" customHeight="1">
      <c r="B32" s="259"/>
      <c r="C32" s="704"/>
      <c r="D32" s="707"/>
      <c r="E32" s="728"/>
      <c r="F32" s="725"/>
      <c r="G32" s="725"/>
      <c r="H32" s="725"/>
      <c r="I32" s="725"/>
      <c r="J32" s="725"/>
      <c r="K32" s="725"/>
      <c r="L32" s="725"/>
      <c r="M32" s="263" t="s">
        <v>356</v>
      </c>
      <c r="N32" s="725"/>
      <c r="O32" s="725"/>
      <c r="P32" s="725"/>
      <c r="Q32" s="725"/>
      <c r="R32" s="725"/>
      <c r="S32" s="725"/>
      <c r="T32" s="725"/>
      <c r="U32" s="725"/>
      <c r="V32" s="725"/>
      <c r="W32" s="725"/>
      <c r="X32" s="263"/>
      <c r="Y32" s="262" t="s">
        <v>355</v>
      </c>
      <c r="Z32" s="257"/>
      <c r="AA32" s="769"/>
      <c r="AB32" s="750"/>
    </row>
    <row r="33" spans="2:33" ht="16.5" customHeight="1">
      <c r="B33" s="259"/>
      <c r="C33" s="704"/>
      <c r="D33" s="739" t="s">
        <v>354</v>
      </c>
      <c r="E33" s="760" t="s">
        <v>353</v>
      </c>
      <c r="F33" s="760"/>
      <c r="G33" s="729">
        <v>655769</v>
      </c>
      <c r="H33" s="724"/>
      <c r="I33" s="724"/>
      <c r="J33" s="724"/>
      <c r="K33" s="724"/>
      <c r="L33" s="730"/>
      <c r="M33" s="683" t="s">
        <v>352</v>
      </c>
      <c r="N33" s="684"/>
      <c r="O33" s="685"/>
      <c r="P33" s="261" t="s">
        <v>229</v>
      </c>
      <c r="Q33" s="738" t="s">
        <v>336</v>
      </c>
      <c r="R33" s="738"/>
      <c r="S33" s="738"/>
      <c r="T33" s="738"/>
      <c r="U33" s="738"/>
      <c r="V33" s="738"/>
      <c r="W33" s="738"/>
      <c r="X33" s="738"/>
      <c r="Y33" s="260" t="s">
        <v>351</v>
      </c>
      <c r="Z33" s="257"/>
      <c r="AA33" s="769"/>
      <c r="AB33" s="750"/>
    </row>
    <row r="34" spans="2:33" ht="26.25" customHeight="1">
      <c r="B34" s="259"/>
      <c r="C34" s="705"/>
      <c r="D34" s="731"/>
      <c r="E34" s="761"/>
      <c r="F34" s="761"/>
      <c r="G34" s="728"/>
      <c r="H34" s="725"/>
      <c r="I34" s="725"/>
      <c r="J34" s="725"/>
      <c r="K34" s="725"/>
      <c r="L34" s="731"/>
      <c r="M34" s="686" t="s">
        <v>350</v>
      </c>
      <c r="N34" s="687"/>
      <c r="O34" s="688"/>
      <c r="P34" s="735" t="s">
        <v>369</v>
      </c>
      <c r="Q34" s="736"/>
      <c r="R34" s="736"/>
      <c r="S34" s="736"/>
      <c r="T34" s="736"/>
      <c r="U34" s="736"/>
      <c r="V34" s="736"/>
      <c r="W34" s="736"/>
      <c r="X34" s="736"/>
      <c r="Y34" s="737"/>
      <c r="Z34" s="257"/>
      <c r="AA34" s="769"/>
      <c r="AB34" s="750"/>
    </row>
    <row r="35" spans="2:33" ht="9.75" customHeight="1" thickBot="1">
      <c r="B35" s="256"/>
      <c r="C35" s="254"/>
      <c r="D35" s="254"/>
      <c r="E35" s="254"/>
      <c r="F35" s="254"/>
      <c r="G35" s="254"/>
      <c r="H35" s="254"/>
      <c r="I35" s="254"/>
      <c r="J35" s="254"/>
      <c r="K35" s="254"/>
      <c r="L35" s="254"/>
      <c r="M35" s="254"/>
      <c r="N35" s="255"/>
      <c r="O35" s="254"/>
      <c r="P35" s="254"/>
      <c r="Q35" s="254"/>
      <c r="R35" s="254"/>
      <c r="S35" s="254"/>
      <c r="T35" s="254"/>
      <c r="U35" s="254"/>
      <c r="V35" s="254"/>
      <c r="W35" s="254"/>
      <c r="X35" s="255"/>
      <c r="Y35" s="254"/>
      <c r="Z35" s="253"/>
      <c r="AA35" s="769"/>
      <c r="AB35" s="750"/>
      <c r="AE35" s="238"/>
      <c r="AF35" s="238"/>
      <c r="AG35" s="251"/>
    </row>
    <row r="36" spans="2:33" ht="23.25" customHeight="1">
      <c r="B36" s="785" t="s">
        <v>185</v>
      </c>
      <c r="C36" s="786"/>
      <c r="D36" s="786"/>
      <c r="E36" s="786"/>
      <c r="F36" s="787"/>
      <c r="G36" s="785" t="s">
        <v>106</v>
      </c>
      <c r="H36" s="786"/>
      <c r="I36" s="786"/>
      <c r="J36" s="787"/>
      <c r="K36" s="796" t="s">
        <v>184</v>
      </c>
      <c r="L36" s="797"/>
      <c r="M36" s="797"/>
      <c r="N36" s="797"/>
      <c r="O36" s="797"/>
      <c r="P36" s="797"/>
      <c r="Q36" s="252" t="s">
        <v>183</v>
      </c>
      <c r="R36" s="792"/>
      <c r="S36" s="793"/>
      <c r="T36" s="793"/>
      <c r="U36" s="793"/>
      <c r="V36" s="793"/>
      <c r="W36" s="793"/>
      <c r="X36" s="793"/>
      <c r="Y36" s="793" t="s">
        <v>46</v>
      </c>
      <c r="Z36" s="795"/>
      <c r="AB36" s="750"/>
      <c r="AE36" s="238"/>
      <c r="AF36" s="238"/>
      <c r="AG36" s="251"/>
    </row>
    <row r="37" spans="2:33" ht="23.25" customHeight="1">
      <c r="B37" s="732" t="s">
        <v>182</v>
      </c>
      <c r="C37" s="733"/>
      <c r="D37" s="733"/>
      <c r="E37" s="733"/>
      <c r="F37" s="734"/>
      <c r="G37" s="698" t="s">
        <v>181</v>
      </c>
      <c r="H37" s="699"/>
      <c r="I37" s="699"/>
      <c r="J37" s="700"/>
      <c r="K37" s="751" t="s">
        <v>180</v>
      </c>
      <c r="L37" s="752"/>
      <c r="M37" s="752"/>
      <c r="N37" s="752"/>
      <c r="O37" s="752"/>
      <c r="P37" s="752"/>
      <c r="Q37" s="250" t="s">
        <v>179</v>
      </c>
      <c r="R37" s="794"/>
      <c r="S37" s="774"/>
      <c r="T37" s="774"/>
      <c r="U37" s="774"/>
      <c r="V37" s="774"/>
      <c r="W37" s="774"/>
      <c r="X37" s="774"/>
      <c r="Y37" s="774" t="s">
        <v>46</v>
      </c>
      <c r="Z37" s="775"/>
      <c r="AE37" s="238"/>
      <c r="AF37" s="238"/>
      <c r="AG37" s="238"/>
    </row>
    <row r="38" spans="2:33" ht="23.25" customHeight="1">
      <c r="B38" s="782" t="s">
        <v>178</v>
      </c>
      <c r="C38" s="783"/>
      <c r="D38" s="783"/>
      <c r="E38" s="783"/>
      <c r="F38" s="784"/>
      <c r="G38" s="782" t="s">
        <v>177</v>
      </c>
      <c r="H38" s="783"/>
      <c r="I38" s="783"/>
      <c r="J38" s="784"/>
      <c r="K38" s="732" t="s">
        <v>176</v>
      </c>
      <c r="L38" s="733"/>
      <c r="M38" s="733"/>
      <c r="N38" s="733"/>
      <c r="O38" s="733"/>
      <c r="P38" s="733"/>
      <c r="Q38" s="249" t="s">
        <v>175</v>
      </c>
      <c r="R38" s="672"/>
      <c r="S38" s="756"/>
      <c r="T38" s="756"/>
      <c r="U38" s="756"/>
      <c r="V38" s="756"/>
      <c r="W38" s="756"/>
      <c r="X38" s="756"/>
      <c r="Y38" s="681" t="s">
        <v>46</v>
      </c>
      <c r="Z38" s="682"/>
      <c r="AE38" s="238"/>
      <c r="AF38" s="238"/>
      <c r="AG38" s="238"/>
    </row>
    <row r="39" spans="2:33" ht="23.25" customHeight="1">
      <c r="B39" s="747"/>
      <c r="C39" s="801"/>
      <c r="D39" s="801"/>
      <c r="E39" s="801"/>
      <c r="F39" s="748"/>
      <c r="G39" s="695" t="s">
        <v>174</v>
      </c>
      <c r="H39" s="696"/>
      <c r="I39" s="696"/>
      <c r="J39" s="697"/>
      <c r="K39" s="732" t="s">
        <v>173</v>
      </c>
      <c r="L39" s="733"/>
      <c r="M39" s="733"/>
      <c r="N39" s="781" t="s">
        <v>172</v>
      </c>
      <c r="O39" s="781"/>
      <c r="P39" s="781"/>
      <c r="Q39" s="250" t="s">
        <v>171</v>
      </c>
      <c r="R39" s="672"/>
      <c r="S39" s="756"/>
      <c r="T39" s="756"/>
      <c r="U39" s="756"/>
      <c r="V39" s="756"/>
      <c r="W39" s="756"/>
      <c r="X39" s="756"/>
      <c r="Y39" s="681" t="s">
        <v>46</v>
      </c>
      <c r="Z39" s="682"/>
      <c r="AE39" s="238"/>
      <c r="AF39" s="238"/>
      <c r="AG39" s="238"/>
    </row>
    <row r="40" spans="2:33" ht="23.25" customHeight="1">
      <c r="B40" s="802"/>
      <c r="C40" s="803"/>
      <c r="D40" s="803"/>
      <c r="E40" s="803"/>
      <c r="F40" s="804"/>
      <c r="G40" s="782" t="s">
        <v>170</v>
      </c>
      <c r="H40" s="783"/>
      <c r="I40" s="783"/>
      <c r="J40" s="784"/>
      <c r="K40" s="718" t="s">
        <v>349</v>
      </c>
      <c r="L40" s="719"/>
      <c r="M40" s="719"/>
      <c r="N40" s="719"/>
      <c r="O40" s="719"/>
      <c r="P40" s="719"/>
      <c r="Q40" s="706"/>
      <c r="R40" s="770"/>
      <c r="S40" s="771"/>
      <c r="T40" s="771"/>
      <c r="U40" s="771"/>
      <c r="V40" s="771"/>
      <c r="W40" s="771"/>
      <c r="X40" s="771"/>
      <c r="Y40" s="771" t="s">
        <v>46</v>
      </c>
      <c r="Z40" s="789"/>
      <c r="AE40" s="238"/>
      <c r="AF40" s="238"/>
      <c r="AG40" s="238"/>
    </row>
    <row r="41" spans="2:33" ht="23.25" customHeight="1">
      <c r="B41" s="802"/>
      <c r="C41" s="803"/>
      <c r="D41" s="803"/>
      <c r="E41" s="803"/>
      <c r="F41" s="804"/>
      <c r="G41" s="698" t="s">
        <v>348</v>
      </c>
      <c r="H41" s="699"/>
      <c r="I41" s="699"/>
      <c r="J41" s="700"/>
      <c r="K41" s="720"/>
      <c r="L41" s="721"/>
      <c r="M41" s="721"/>
      <c r="N41" s="721"/>
      <c r="O41" s="721"/>
      <c r="P41" s="721"/>
      <c r="Q41" s="722"/>
      <c r="R41" s="772"/>
      <c r="S41" s="773"/>
      <c r="T41" s="773"/>
      <c r="U41" s="773"/>
      <c r="V41" s="773"/>
      <c r="W41" s="773"/>
      <c r="X41" s="773"/>
      <c r="Y41" s="773"/>
      <c r="Z41" s="790"/>
      <c r="AE41" s="238"/>
      <c r="AF41" s="238"/>
      <c r="AG41" s="238"/>
    </row>
    <row r="42" spans="2:33" ht="21" customHeight="1">
      <c r="B42" s="805"/>
      <c r="C42" s="806"/>
      <c r="D42" s="806"/>
      <c r="E42" s="806"/>
      <c r="F42" s="707"/>
      <c r="G42" s="248"/>
      <c r="H42" s="247"/>
      <c r="I42" s="247"/>
      <c r="J42" s="246"/>
      <c r="K42" s="672" t="s">
        <v>169</v>
      </c>
      <c r="L42" s="673"/>
      <c r="M42" s="673"/>
      <c r="N42" s="673"/>
      <c r="O42" s="673"/>
      <c r="P42" s="245"/>
      <c r="Q42" s="245"/>
      <c r="R42" s="244"/>
      <c r="S42" s="244"/>
      <c r="T42" s="244"/>
      <c r="U42" s="244"/>
      <c r="V42" s="244"/>
      <c r="W42" s="244"/>
      <c r="X42" s="244"/>
      <c r="Y42" s="244"/>
      <c r="Z42" s="243"/>
      <c r="AE42" s="238"/>
      <c r="AF42" s="238"/>
      <c r="AG42" s="238"/>
    </row>
    <row r="43" spans="2:33" ht="15.75" customHeight="1">
      <c r="B43" s="788" t="s">
        <v>168</v>
      </c>
      <c r="C43" s="788"/>
      <c r="D43" s="242" t="s">
        <v>167</v>
      </c>
      <c r="E43" s="701" t="s">
        <v>166</v>
      </c>
      <c r="F43" s="701"/>
      <c r="G43" s="701" t="s">
        <v>165</v>
      </c>
      <c r="H43" s="701"/>
      <c r="I43" s="701" t="s">
        <v>164</v>
      </c>
      <c r="J43" s="701"/>
      <c r="K43" s="674" t="s">
        <v>163</v>
      </c>
      <c r="L43" s="675"/>
      <c r="M43" s="675"/>
      <c r="N43" s="676"/>
      <c r="O43" s="669" t="s">
        <v>162</v>
      </c>
      <c r="P43" s="670"/>
      <c r="Q43" s="671"/>
      <c r="R43" s="669" t="s">
        <v>157</v>
      </c>
      <c r="S43" s="670"/>
      <c r="T43" s="670"/>
      <c r="U43" s="670"/>
      <c r="V43" s="670"/>
      <c r="W43" s="670"/>
      <c r="X43" s="670"/>
      <c r="Y43" s="670"/>
      <c r="Z43" s="671"/>
    </row>
    <row r="44" spans="2:33" ht="15.75" customHeight="1">
      <c r="B44" s="788"/>
      <c r="C44" s="788"/>
      <c r="D44" s="701"/>
      <c r="E44" s="701"/>
      <c r="F44" s="701"/>
      <c r="G44" s="701"/>
      <c r="H44" s="701"/>
      <c r="I44" s="701"/>
      <c r="J44" s="701"/>
      <c r="K44" s="677"/>
      <c r="L44" s="678"/>
      <c r="M44" s="678"/>
      <c r="N44" s="679"/>
      <c r="O44" s="669" t="s">
        <v>161</v>
      </c>
      <c r="P44" s="670"/>
      <c r="Q44" s="671"/>
      <c r="R44" s="669" t="s">
        <v>157</v>
      </c>
      <c r="S44" s="670"/>
      <c r="T44" s="670"/>
      <c r="U44" s="670"/>
      <c r="V44" s="670"/>
      <c r="W44" s="670"/>
      <c r="X44" s="670"/>
      <c r="Y44" s="670"/>
      <c r="Z44" s="671"/>
    </row>
    <row r="45" spans="2:33" ht="15.75" customHeight="1">
      <c r="B45" s="788"/>
      <c r="C45" s="788"/>
      <c r="D45" s="701"/>
      <c r="E45" s="701"/>
      <c r="F45" s="701"/>
      <c r="G45" s="701"/>
      <c r="H45" s="701"/>
      <c r="I45" s="701"/>
      <c r="J45" s="701"/>
      <c r="K45" s="677" t="s">
        <v>160</v>
      </c>
      <c r="L45" s="678"/>
      <c r="M45" s="678"/>
      <c r="N45" s="679"/>
      <c r="O45" s="669" t="s">
        <v>159</v>
      </c>
      <c r="P45" s="670"/>
      <c r="Q45" s="671"/>
      <c r="R45" s="669" t="s">
        <v>157</v>
      </c>
      <c r="S45" s="670"/>
      <c r="T45" s="670"/>
      <c r="U45" s="670"/>
      <c r="V45" s="670"/>
      <c r="W45" s="670"/>
      <c r="X45" s="670"/>
      <c r="Y45" s="670"/>
      <c r="Z45" s="671"/>
    </row>
    <row r="46" spans="2:33" ht="15.75" customHeight="1">
      <c r="B46" s="788"/>
      <c r="C46" s="788"/>
      <c r="D46" s="701"/>
      <c r="E46" s="701"/>
      <c r="F46" s="701"/>
      <c r="G46" s="701"/>
      <c r="H46" s="701"/>
      <c r="I46" s="701"/>
      <c r="J46" s="701"/>
      <c r="K46" s="798"/>
      <c r="L46" s="799"/>
      <c r="M46" s="799"/>
      <c r="N46" s="800"/>
      <c r="O46" s="669" t="s">
        <v>158</v>
      </c>
      <c r="P46" s="670"/>
      <c r="Q46" s="671"/>
      <c r="R46" s="669" t="s">
        <v>157</v>
      </c>
      <c r="S46" s="670"/>
      <c r="T46" s="670"/>
      <c r="U46" s="670"/>
      <c r="V46" s="670"/>
      <c r="W46" s="670"/>
      <c r="X46" s="670"/>
      <c r="Y46" s="670"/>
      <c r="Z46" s="671"/>
    </row>
    <row r="47" spans="2:33" ht="25" customHeight="1">
      <c r="B47" s="241"/>
      <c r="C47" s="240"/>
      <c r="D47" s="240"/>
      <c r="E47" s="240"/>
      <c r="F47" s="240"/>
      <c r="K47" s="238"/>
      <c r="L47" s="239"/>
      <c r="M47" s="238"/>
    </row>
    <row r="48" spans="2:33" ht="25" customHeight="1">
      <c r="K48" s="238"/>
      <c r="L48" s="239"/>
      <c r="M48" s="238"/>
    </row>
    <row r="49" spans="11:13" ht="25" customHeight="1">
      <c r="K49" s="238"/>
      <c r="L49" s="239"/>
      <c r="M49" s="238"/>
    </row>
  </sheetData>
  <protectedRanges>
    <protectedRange sqref="Q33:X33" name="範囲18"/>
    <protectedRange sqref="N31:W32" name="範囲16"/>
    <protectedRange sqref="O24:O26 O28:O30" name="範囲14"/>
    <protectedRange sqref="E22" name="範囲12"/>
    <protectedRange sqref="G11:Y15" name="範囲7"/>
    <protectedRange sqref="X6:Y7" name="範囲5"/>
    <protectedRange sqref="G9" name="範囲2"/>
    <protectedRange sqref="C20:G20" name="範囲11"/>
    <protectedRange sqref="E31:L32" name="範囲15"/>
    <protectedRange sqref="G33:L34" name="範囲17"/>
    <protectedRange sqref="P34:Y34" name="範囲19"/>
    <protectedRange sqref="F17:K17" name="範囲9_1"/>
    <protectedRange sqref="P16:Y17" name="範囲10_1"/>
    <protectedRange sqref="F18:K18" name="範囲9"/>
    <protectedRange sqref="Y18:Z18 Q18:W18" name="範囲10"/>
    <protectedRange sqref="P8:Y9" name="範囲6_2"/>
    <protectedRange sqref="F16:L16" name="範囲8_1_1"/>
    <protectedRange sqref="E6:M8" name="範囲1_2"/>
    <protectedRange sqref="P22" name="範囲18_2_1"/>
    <protectedRange sqref="N22" name="範囲16_2_1"/>
  </protectedRanges>
  <mergeCells count="117">
    <mergeCell ref="R45:Z45"/>
    <mergeCell ref="R46:Z46"/>
    <mergeCell ref="Y40:Z41"/>
    <mergeCell ref="M29:O30"/>
    <mergeCell ref="R36:X36"/>
    <mergeCell ref="R37:X37"/>
    <mergeCell ref="Y36:Z36"/>
    <mergeCell ref="K36:P36"/>
    <mergeCell ref="I44:J46"/>
    <mergeCell ref="K45:N46"/>
    <mergeCell ref="O46:Q46"/>
    <mergeCell ref="Y39:Z39"/>
    <mergeCell ref="O45:Q45"/>
    <mergeCell ref="E29:L30"/>
    <mergeCell ref="P29:Y30"/>
    <mergeCell ref="E44:F46"/>
    <mergeCell ref="B36:F36"/>
    <mergeCell ref="B38:F38"/>
    <mergeCell ref="B39:F42"/>
    <mergeCell ref="G44:H46"/>
    <mergeCell ref="G40:J40"/>
    <mergeCell ref="AA13:AA35"/>
    <mergeCell ref="G15:Y15"/>
    <mergeCell ref="I43:J43"/>
    <mergeCell ref="R39:X39"/>
    <mergeCell ref="G14:Y14"/>
    <mergeCell ref="R40:X41"/>
    <mergeCell ref="M17:O17"/>
    <mergeCell ref="Y37:Z37"/>
    <mergeCell ref="V18:Y18"/>
    <mergeCell ref="C18:U18"/>
    <mergeCell ref="P16:T16"/>
    <mergeCell ref="P17:T17"/>
    <mergeCell ref="K39:M39"/>
    <mergeCell ref="N39:P39"/>
    <mergeCell ref="G38:J38"/>
    <mergeCell ref="K38:P38"/>
    <mergeCell ref="G36:J36"/>
    <mergeCell ref="B43:C46"/>
    <mergeCell ref="E43:F43"/>
    <mergeCell ref="G43:H43"/>
    <mergeCell ref="B37:F37"/>
    <mergeCell ref="G37:J37"/>
    <mergeCell ref="C17:E17"/>
    <mergeCell ref="R43:Z43"/>
    <mergeCell ref="AB13:AB36"/>
    <mergeCell ref="K37:P37"/>
    <mergeCell ref="C14:F14"/>
    <mergeCell ref="C15:F15"/>
    <mergeCell ref="P2:R2"/>
    <mergeCell ref="R38:X38"/>
    <mergeCell ref="Y38:Z38"/>
    <mergeCell ref="U8:U9"/>
    <mergeCell ref="T8:T9"/>
    <mergeCell ref="S8:S9"/>
    <mergeCell ref="R8:R9"/>
    <mergeCell ref="Q8:Q9"/>
    <mergeCell ref="V8:V9"/>
    <mergeCell ref="W8:W9"/>
    <mergeCell ref="C4:Y4"/>
    <mergeCell ref="C20:G20"/>
    <mergeCell ref="E33:F34"/>
    <mergeCell ref="D33:D34"/>
    <mergeCell ref="D19:Y19"/>
    <mergeCell ref="F17:K17"/>
    <mergeCell ref="D27:D28"/>
    <mergeCell ref="Y8:Y9"/>
    <mergeCell ref="G11:Y11"/>
    <mergeCell ref="G12:Y12"/>
    <mergeCell ref="S2:Z2"/>
    <mergeCell ref="T3:Y3"/>
    <mergeCell ref="E9:F9"/>
    <mergeCell ref="C16:E16"/>
    <mergeCell ref="M16:O16"/>
    <mergeCell ref="F16:L16"/>
    <mergeCell ref="Y6:Y7"/>
    <mergeCell ref="P8:P9"/>
    <mergeCell ref="K40:Q41"/>
    <mergeCell ref="N31:W32"/>
    <mergeCell ref="L23:W23"/>
    <mergeCell ref="E31:L32"/>
    <mergeCell ref="G33:L34"/>
    <mergeCell ref="C13:F13"/>
    <mergeCell ref="P34:Y34"/>
    <mergeCell ref="Q33:X33"/>
    <mergeCell ref="D29:D30"/>
    <mergeCell ref="G13:Y13"/>
    <mergeCell ref="X8:X9"/>
    <mergeCell ref="C6:C9"/>
    <mergeCell ref="N8:O9"/>
    <mergeCell ref="E6:M6"/>
    <mergeCell ref="E7:M8"/>
    <mergeCell ref="T6:T7"/>
    <mergeCell ref="D7:D8"/>
    <mergeCell ref="V6:V7"/>
    <mergeCell ref="W6:W7"/>
    <mergeCell ref="X6:X7"/>
    <mergeCell ref="O43:Q43"/>
    <mergeCell ref="O44:Q44"/>
    <mergeCell ref="K42:O42"/>
    <mergeCell ref="K43:N44"/>
    <mergeCell ref="C10:F10"/>
    <mergeCell ref="C11:F11"/>
    <mergeCell ref="C12:F12"/>
    <mergeCell ref="G10:Y10"/>
    <mergeCell ref="M33:O33"/>
    <mergeCell ref="M34:O34"/>
    <mergeCell ref="P6:S7"/>
    <mergeCell ref="G39:J39"/>
    <mergeCell ref="G41:J41"/>
    <mergeCell ref="R44:Z44"/>
    <mergeCell ref="U6:U7"/>
    <mergeCell ref="N6:O7"/>
    <mergeCell ref="L22:X22"/>
    <mergeCell ref="D44:D46"/>
    <mergeCell ref="C27:C34"/>
    <mergeCell ref="D31:D32"/>
  </mergeCells>
  <phoneticPr fontId="3"/>
  <pageMargins left="0.6692913385826772" right="0.23622047244094491" top="0.27559055118110237" bottom="0.19685039370078741" header="0.35433070866141736" footer="0.19685039370078741"/>
  <pageSetup paperSize="9" scale="99" orientation="portrait" horizontalDpi="400"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3:BB57"/>
  <sheetViews>
    <sheetView showZeros="0" workbookViewId="0">
      <selection activeCell="BD16" sqref="BD16"/>
    </sheetView>
  </sheetViews>
  <sheetFormatPr defaultColWidth="1.453125" defaultRowHeight="13"/>
  <cols>
    <col min="1" max="16384" width="1.453125" style="199"/>
  </cols>
  <sheetData>
    <row r="3" spans="1:54" ht="13.5" customHeight="1">
      <c r="A3" s="819" t="s">
        <v>222</v>
      </c>
      <c r="B3" s="819"/>
      <c r="C3" s="819"/>
      <c r="D3" s="819"/>
      <c r="E3" s="819"/>
      <c r="F3" s="819"/>
      <c r="G3" s="819"/>
      <c r="H3" s="819"/>
      <c r="I3" s="819"/>
      <c r="J3" s="819"/>
      <c r="K3" s="819"/>
      <c r="L3" s="819"/>
      <c r="M3" s="819"/>
      <c r="N3" s="819"/>
      <c r="O3" s="819"/>
      <c r="P3" s="819"/>
      <c r="Q3" s="819"/>
      <c r="R3" s="819"/>
      <c r="S3" s="819"/>
      <c r="T3" s="819"/>
      <c r="U3" s="819"/>
      <c r="V3" s="819"/>
      <c r="W3" s="819"/>
      <c r="X3" s="819"/>
      <c r="Y3" s="819"/>
      <c r="Z3" s="819"/>
      <c r="AA3" s="819"/>
      <c r="AB3" s="819"/>
      <c r="AC3" s="819"/>
      <c r="AD3" s="819"/>
      <c r="AE3" s="819"/>
      <c r="AF3" s="819"/>
      <c r="AG3" s="819"/>
      <c r="AH3" s="819"/>
      <c r="AI3" s="819"/>
      <c r="AJ3" s="819"/>
      <c r="AK3" s="819"/>
      <c r="AL3" s="819"/>
      <c r="AM3" s="819"/>
      <c r="AN3" s="819"/>
      <c r="AO3" s="819"/>
      <c r="AP3" s="819"/>
      <c r="AQ3" s="819"/>
      <c r="AR3" s="819"/>
      <c r="AS3" s="819"/>
      <c r="AT3" s="819"/>
      <c r="AU3" s="819"/>
      <c r="AV3" s="819"/>
      <c r="AW3" s="819"/>
      <c r="AX3" s="819"/>
      <c r="AY3" s="819"/>
      <c r="AZ3" s="819"/>
      <c r="BA3" s="819"/>
      <c r="BB3" s="819"/>
    </row>
    <row r="4" spans="1:54" ht="13.5" customHeight="1">
      <c r="A4" s="819"/>
      <c r="B4" s="819"/>
      <c r="C4" s="819"/>
      <c r="D4" s="819"/>
      <c r="E4" s="819"/>
      <c r="F4" s="819"/>
      <c r="G4" s="819"/>
      <c r="H4" s="819"/>
      <c r="I4" s="819"/>
      <c r="J4" s="819"/>
      <c r="K4" s="819"/>
      <c r="L4" s="819"/>
      <c r="M4" s="819"/>
      <c r="N4" s="819"/>
      <c r="O4" s="819"/>
      <c r="P4" s="819"/>
      <c r="Q4" s="819"/>
      <c r="R4" s="819"/>
      <c r="S4" s="819"/>
      <c r="T4" s="819"/>
      <c r="U4" s="819"/>
      <c r="V4" s="819"/>
      <c r="W4" s="819"/>
      <c r="X4" s="819"/>
      <c r="Y4" s="819"/>
      <c r="Z4" s="819"/>
      <c r="AA4" s="819"/>
      <c r="AB4" s="819"/>
      <c r="AC4" s="819"/>
      <c r="AD4" s="819"/>
      <c r="AE4" s="819"/>
      <c r="AF4" s="819"/>
      <c r="AG4" s="819"/>
      <c r="AH4" s="819"/>
      <c r="AI4" s="819"/>
      <c r="AJ4" s="819"/>
      <c r="AK4" s="819"/>
      <c r="AL4" s="819"/>
      <c r="AM4" s="819"/>
      <c r="AN4" s="819"/>
      <c r="AO4" s="819"/>
      <c r="AP4" s="819"/>
      <c r="AQ4" s="819"/>
      <c r="AR4" s="819"/>
      <c r="AS4" s="819"/>
      <c r="AT4" s="819"/>
      <c r="AU4" s="819"/>
      <c r="AV4" s="819"/>
      <c r="AW4" s="819"/>
      <c r="AX4" s="819"/>
      <c r="AY4" s="819"/>
      <c r="AZ4" s="819"/>
      <c r="BA4" s="819"/>
      <c r="BB4" s="819"/>
    </row>
    <row r="5" spans="1:54" ht="13.5" customHeight="1">
      <c r="A5" s="819"/>
      <c r="B5" s="819"/>
      <c r="C5" s="819"/>
      <c r="D5" s="819"/>
      <c r="E5" s="819"/>
      <c r="F5" s="819"/>
      <c r="G5" s="819"/>
      <c r="H5" s="819"/>
      <c r="I5" s="819"/>
      <c r="J5" s="819"/>
      <c r="K5" s="819"/>
      <c r="L5" s="819"/>
      <c r="M5" s="819"/>
      <c r="N5" s="819"/>
      <c r="O5" s="819"/>
      <c r="P5" s="819"/>
      <c r="Q5" s="819"/>
      <c r="R5" s="819"/>
      <c r="S5" s="819"/>
      <c r="T5" s="819"/>
      <c r="U5" s="819"/>
      <c r="V5" s="819"/>
      <c r="W5" s="819"/>
      <c r="X5" s="819"/>
      <c r="Y5" s="819"/>
      <c r="Z5" s="819"/>
      <c r="AA5" s="819"/>
      <c r="AB5" s="819"/>
      <c r="AC5" s="819"/>
      <c r="AD5" s="819"/>
      <c r="AE5" s="819"/>
      <c r="AF5" s="819"/>
      <c r="AG5" s="819"/>
      <c r="AH5" s="819"/>
      <c r="AI5" s="819"/>
      <c r="AJ5" s="819"/>
      <c r="AK5" s="819"/>
      <c r="AL5" s="819"/>
      <c r="AM5" s="819"/>
      <c r="AN5" s="819"/>
      <c r="AO5" s="819"/>
      <c r="AP5" s="819"/>
      <c r="AQ5" s="819"/>
      <c r="AR5" s="819"/>
      <c r="AS5" s="819"/>
      <c r="AT5" s="819"/>
      <c r="AU5" s="819"/>
      <c r="AV5" s="819"/>
      <c r="AW5" s="819"/>
      <c r="AX5" s="819"/>
      <c r="AY5" s="819"/>
      <c r="AZ5" s="819"/>
      <c r="BA5" s="819"/>
      <c r="BB5" s="819"/>
    </row>
    <row r="6" spans="1:54">
      <c r="C6" s="199" t="s">
        <v>221</v>
      </c>
    </row>
    <row r="7" spans="1:54">
      <c r="C7" s="199" t="s">
        <v>220</v>
      </c>
    </row>
    <row r="8" spans="1:54">
      <c r="AO8" s="199" t="s">
        <v>219</v>
      </c>
    </row>
    <row r="11" spans="1:54">
      <c r="K11" s="809" t="s">
        <v>218</v>
      </c>
      <c r="L11" s="809"/>
      <c r="M11" s="809"/>
      <c r="N11" s="809"/>
      <c r="O11" s="809"/>
      <c r="P11" s="809"/>
      <c r="Q11" s="809"/>
      <c r="R11" s="809"/>
      <c r="S11" s="812">
        <f>基本情報!B5</f>
        <v>0</v>
      </c>
      <c r="T11" s="812"/>
      <c r="U11" s="812"/>
      <c r="V11" s="812"/>
      <c r="W11" s="812"/>
      <c r="X11" s="812"/>
      <c r="Y11" s="812"/>
      <c r="Z11" s="812"/>
      <c r="AA11" s="812"/>
      <c r="AB11" s="812"/>
      <c r="AC11" s="812"/>
      <c r="AD11" s="812"/>
      <c r="AE11" s="812"/>
      <c r="AF11" s="812"/>
      <c r="AG11" s="812"/>
      <c r="AH11" s="812"/>
      <c r="AI11" s="812"/>
      <c r="AJ11" s="812"/>
      <c r="AK11" s="812"/>
      <c r="AL11" s="812"/>
      <c r="AM11" s="812"/>
      <c r="AN11" s="812"/>
      <c r="AO11" s="812"/>
      <c r="AP11" s="812"/>
      <c r="AQ11" s="812"/>
      <c r="AR11" s="812"/>
      <c r="AS11" s="812"/>
      <c r="AT11" s="812"/>
      <c r="AU11" s="812"/>
      <c r="AV11" s="812"/>
      <c r="AW11" s="812"/>
      <c r="AX11" s="812"/>
      <c r="AY11" s="812"/>
      <c r="AZ11" s="812"/>
      <c r="BA11" s="812"/>
    </row>
    <row r="12" spans="1:54">
      <c r="K12" s="809"/>
      <c r="L12" s="809"/>
      <c r="M12" s="809"/>
      <c r="N12" s="809"/>
      <c r="O12" s="809"/>
      <c r="P12" s="809"/>
      <c r="Q12" s="809"/>
      <c r="R12" s="809"/>
      <c r="S12" s="812"/>
      <c r="T12" s="812"/>
      <c r="U12" s="812"/>
      <c r="V12" s="812"/>
      <c r="W12" s="812"/>
      <c r="X12" s="812"/>
      <c r="Y12" s="812"/>
      <c r="Z12" s="812"/>
      <c r="AA12" s="812"/>
      <c r="AB12" s="812"/>
      <c r="AC12" s="812"/>
      <c r="AD12" s="812"/>
      <c r="AE12" s="812"/>
      <c r="AF12" s="812"/>
      <c r="AG12" s="812"/>
      <c r="AH12" s="812"/>
      <c r="AI12" s="812"/>
      <c r="AJ12" s="812"/>
      <c r="AK12" s="812"/>
      <c r="AL12" s="812"/>
      <c r="AM12" s="812"/>
      <c r="AN12" s="812"/>
      <c r="AO12" s="812"/>
      <c r="AP12" s="812"/>
      <c r="AQ12" s="812"/>
      <c r="AR12" s="812"/>
      <c r="AS12" s="812"/>
      <c r="AT12" s="812"/>
      <c r="AU12" s="812"/>
      <c r="AV12" s="812"/>
      <c r="AW12" s="812"/>
      <c r="AX12" s="812"/>
      <c r="AY12" s="812"/>
      <c r="AZ12" s="812"/>
      <c r="BA12" s="812"/>
    </row>
    <row r="13" spans="1:54">
      <c r="K13" s="810"/>
      <c r="L13" s="810"/>
      <c r="M13" s="810"/>
      <c r="N13" s="810"/>
      <c r="O13" s="810"/>
      <c r="P13" s="810"/>
      <c r="Q13" s="810"/>
      <c r="R13" s="810"/>
      <c r="S13" s="813"/>
      <c r="T13" s="813"/>
      <c r="U13" s="813"/>
      <c r="V13" s="813"/>
      <c r="W13" s="813"/>
      <c r="X13" s="813"/>
      <c r="Y13" s="813"/>
      <c r="Z13" s="813"/>
      <c r="AA13" s="813"/>
      <c r="AB13" s="813"/>
      <c r="AC13" s="813"/>
      <c r="AD13" s="813"/>
      <c r="AE13" s="813"/>
      <c r="AF13" s="813"/>
      <c r="AG13" s="813"/>
      <c r="AH13" s="813"/>
      <c r="AI13" s="813"/>
      <c r="AJ13" s="813"/>
      <c r="AK13" s="813"/>
      <c r="AL13" s="813"/>
      <c r="AM13" s="813"/>
      <c r="AN13" s="813"/>
      <c r="AO13" s="813"/>
      <c r="AP13" s="813"/>
      <c r="AQ13" s="813"/>
      <c r="AR13" s="813"/>
      <c r="AS13" s="813"/>
      <c r="AT13" s="813"/>
      <c r="AU13" s="813"/>
      <c r="AV13" s="813"/>
      <c r="AW13" s="813"/>
      <c r="AX13" s="813"/>
      <c r="AY13" s="813"/>
      <c r="AZ13" s="813"/>
      <c r="BA13" s="813"/>
    </row>
    <row r="14" spans="1:54">
      <c r="K14" s="808" t="s">
        <v>217</v>
      </c>
      <c r="L14" s="808"/>
      <c r="M14" s="808"/>
      <c r="N14" s="808"/>
      <c r="O14" s="808"/>
      <c r="P14" s="808"/>
      <c r="Q14" s="808"/>
      <c r="R14" s="808"/>
      <c r="S14" s="811"/>
      <c r="T14" s="811"/>
      <c r="U14" s="811"/>
      <c r="V14" s="811"/>
      <c r="W14" s="811"/>
      <c r="X14" s="811"/>
      <c r="Y14" s="811"/>
      <c r="Z14" s="811"/>
      <c r="AA14" s="811"/>
      <c r="AB14" s="811"/>
      <c r="AC14" s="811"/>
      <c r="AD14" s="811"/>
      <c r="AE14" s="811"/>
      <c r="AF14" s="811"/>
      <c r="AG14" s="811"/>
      <c r="AH14" s="811"/>
      <c r="AI14" s="811"/>
      <c r="AJ14" s="811"/>
      <c r="AK14" s="811"/>
      <c r="AL14" s="811"/>
      <c r="AM14" s="811"/>
      <c r="AN14" s="811"/>
      <c r="AO14" s="811"/>
      <c r="AP14" s="811"/>
      <c r="AQ14" s="811"/>
      <c r="AR14" s="811"/>
      <c r="AS14" s="811"/>
      <c r="AT14" s="811"/>
      <c r="AU14" s="811"/>
      <c r="AV14" s="811"/>
      <c r="AW14" s="811"/>
      <c r="AX14" s="811"/>
      <c r="AY14" s="811"/>
      <c r="AZ14" s="811"/>
      <c r="BA14" s="811"/>
    </row>
    <row r="15" spans="1:54">
      <c r="K15" s="809"/>
      <c r="L15" s="809"/>
      <c r="M15" s="809"/>
      <c r="N15" s="809"/>
      <c r="O15" s="809"/>
      <c r="P15" s="809"/>
      <c r="Q15" s="809"/>
      <c r="R15" s="809"/>
      <c r="S15" s="812"/>
      <c r="T15" s="812"/>
      <c r="U15" s="812"/>
      <c r="V15" s="812"/>
      <c r="W15" s="812"/>
      <c r="X15" s="812"/>
      <c r="Y15" s="812"/>
      <c r="Z15" s="812"/>
      <c r="AA15" s="812"/>
      <c r="AB15" s="812"/>
      <c r="AC15" s="812"/>
      <c r="AD15" s="812"/>
      <c r="AE15" s="812"/>
      <c r="AF15" s="812"/>
      <c r="AG15" s="812"/>
      <c r="AH15" s="812"/>
      <c r="AI15" s="812"/>
      <c r="AJ15" s="812"/>
      <c r="AK15" s="812"/>
      <c r="AL15" s="812"/>
      <c r="AM15" s="812"/>
      <c r="AN15" s="812"/>
      <c r="AO15" s="812"/>
      <c r="AP15" s="812"/>
      <c r="AQ15" s="812"/>
      <c r="AR15" s="812"/>
      <c r="AS15" s="812"/>
      <c r="AT15" s="812"/>
      <c r="AU15" s="812"/>
      <c r="AV15" s="812"/>
      <c r="AW15" s="812"/>
      <c r="AX15" s="812"/>
      <c r="AY15" s="812"/>
      <c r="AZ15" s="812"/>
      <c r="BA15" s="812"/>
    </row>
    <row r="16" spans="1:54">
      <c r="K16" s="810"/>
      <c r="L16" s="810"/>
      <c r="M16" s="810"/>
      <c r="N16" s="810"/>
      <c r="O16" s="810"/>
      <c r="P16" s="810"/>
      <c r="Q16" s="810"/>
      <c r="R16" s="810"/>
      <c r="S16" s="813"/>
      <c r="T16" s="813"/>
      <c r="U16" s="813"/>
      <c r="V16" s="813"/>
      <c r="W16" s="813"/>
      <c r="X16" s="813"/>
      <c r="Y16" s="813"/>
      <c r="Z16" s="813"/>
      <c r="AA16" s="813"/>
      <c r="AB16" s="813"/>
      <c r="AC16" s="813"/>
      <c r="AD16" s="813"/>
      <c r="AE16" s="813"/>
      <c r="AF16" s="813"/>
      <c r="AG16" s="813"/>
      <c r="AH16" s="813"/>
      <c r="AI16" s="813"/>
      <c r="AJ16" s="813"/>
      <c r="AK16" s="813"/>
      <c r="AL16" s="813"/>
      <c r="AM16" s="813"/>
      <c r="AN16" s="813"/>
      <c r="AO16" s="813"/>
      <c r="AP16" s="813"/>
      <c r="AQ16" s="813"/>
      <c r="AR16" s="813"/>
      <c r="AS16" s="813"/>
      <c r="AT16" s="813"/>
      <c r="AU16" s="813"/>
      <c r="AV16" s="813"/>
      <c r="AW16" s="813"/>
      <c r="AX16" s="813"/>
      <c r="AY16" s="813"/>
      <c r="AZ16" s="813"/>
      <c r="BA16" s="813"/>
    </row>
    <row r="17" spans="4:53">
      <c r="K17" s="821" t="s">
        <v>216</v>
      </c>
      <c r="L17" s="821"/>
      <c r="M17" s="821"/>
      <c r="N17" s="821"/>
      <c r="O17" s="821"/>
      <c r="P17" s="821"/>
      <c r="Q17" s="821"/>
      <c r="R17" s="821"/>
      <c r="S17" s="203"/>
      <c r="T17" s="203"/>
      <c r="U17" s="203"/>
      <c r="V17" s="203"/>
      <c r="W17" s="203"/>
      <c r="X17" s="203"/>
      <c r="Y17" s="203"/>
      <c r="Z17" s="203"/>
      <c r="AA17" s="203"/>
      <c r="AB17" s="203"/>
      <c r="AC17" s="203"/>
      <c r="AD17" s="203"/>
      <c r="AE17" s="203"/>
      <c r="AF17" s="203"/>
      <c r="AG17" s="203"/>
      <c r="AH17" s="203"/>
      <c r="AI17" s="203"/>
      <c r="AJ17" s="203"/>
      <c r="AK17" s="203"/>
      <c r="AL17" s="203"/>
      <c r="AM17" s="203"/>
      <c r="AN17" s="203"/>
      <c r="AO17" s="203"/>
      <c r="AP17" s="203"/>
      <c r="AQ17" s="203"/>
      <c r="AR17" s="203"/>
      <c r="AS17" s="203"/>
      <c r="AT17" s="203"/>
      <c r="AU17" s="203"/>
      <c r="AV17" s="203"/>
      <c r="AW17" s="203"/>
      <c r="AX17" s="203"/>
      <c r="AY17" s="203"/>
      <c r="AZ17" s="203"/>
      <c r="BA17" s="203"/>
    </row>
    <row r="18" spans="4:53">
      <c r="K18" s="822"/>
      <c r="L18" s="822"/>
      <c r="M18" s="822"/>
      <c r="N18" s="822"/>
      <c r="O18" s="822"/>
      <c r="P18" s="822"/>
      <c r="Q18" s="822"/>
      <c r="R18" s="822"/>
      <c r="S18" s="202"/>
      <c r="T18" s="202"/>
      <c r="U18" s="202"/>
      <c r="V18" s="202"/>
      <c r="W18" s="202"/>
      <c r="X18" s="202"/>
      <c r="Y18" s="202"/>
      <c r="Z18" s="818">
        <f>基本情報!B7</f>
        <v>0</v>
      </c>
      <c r="AA18" s="812"/>
      <c r="AB18" s="812"/>
      <c r="AC18" s="812"/>
      <c r="AD18" s="812"/>
      <c r="AE18" s="812"/>
      <c r="AF18" s="812"/>
      <c r="AG18" s="812"/>
      <c r="AH18" s="812"/>
      <c r="AI18" s="812"/>
      <c r="AJ18" s="812"/>
      <c r="AK18" s="812"/>
      <c r="AL18" s="812"/>
      <c r="AM18" s="812"/>
      <c r="AN18" s="812"/>
      <c r="AO18" s="812"/>
      <c r="AP18" s="812"/>
      <c r="AQ18" s="812"/>
      <c r="AR18" s="812"/>
      <c r="AS18" s="812"/>
      <c r="AT18" s="202"/>
      <c r="AU18" s="202"/>
      <c r="AV18" s="202"/>
      <c r="AW18" s="202"/>
      <c r="AX18" s="202"/>
      <c r="AY18" s="202"/>
      <c r="AZ18" s="202"/>
      <c r="BA18" s="202"/>
    </row>
    <row r="19" spans="4:53">
      <c r="K19" s="823"/>
      <c r="L19" s="823"/>
      <c r="M19" s="823"/>
      <c r="N19" s="823"/>
      <c r="O19" s="823"/>
      <c r="P19" s="823"/>
      <c r="Q19" s="823"/>
      <c r="R19" s="823"/>
      <c r="S19" s="201"/>
      <c r="T19" s="201"/>
      <c r="U19" s="201"/>
      <c r="V19" s="201"/>
      <c r="W19" s="201"/>
      <c r="X19" s="201"/>
      <c r="Y19" s="201"/>
      <c r="Z19" s="813"/>
      <c r="AA19" s="813"/>
      <c r="AB19" s="813"/>
      <c r="AC19" s="813"/>
      <c r="AD19" s="813"/>
      <c r="AE19" s="813"/>
      <c r="AF19" s="813"/>
      <c r="AG19" s="813"/>
      <c r="AH19" s="813"/>
      <c r="AI19" s="813"/>
      <c r="AJ19" s="813"/>
      <c r="AK19" s="813"/>
      <c r="AL19" s="813"/>
      <c r="AM19" s="813"/>
      <c r="AN19" s="813"/>
      <c r="AO19" s="813"/>
      <c r="AP19" s="813"/>
      <c r="AQ19" s="813"/>
      <c r="AR19" s="813"/>
      <c r="AS19" s="813"/>
      <c r="AT19" s="201"/>
      <c r="AU19" s="201"/>
      <c r="AV19" s="201"/>
      <c r="AW19" s="201"/>
      <c r="AX19" s="201"/>
      <c r="AY19" s="201"/>
      <c r="AZ19" s="201"/>
      <c r="BA19" s="201"/>
    </row>
    <row r="20" spans="4:53">
      <c r="AJ20" s="820" t="s">
        <v>215</v>
      </c>
      <c r="AK20" s="820"/>
      <c r="AL20" s="820"/>
      <c r="AM20" s="820"/>
      <c r="AN20" s="820"/>
      <c r="AO20" s="820"/>
      <c r="AP20" s="820"/>
      <c r="AQ20" s="820"/>
      <c r="AR20" s="820"/>
      <c r="AS20" s="820"/>
      <c r="AT20" s="820"/>
      <c r="AU20" s="820"/>
      <c r="AV20" s="820"/>
      <c r="AW20" s="820"/>
      <c r="AX20" s="820"/>
      <c r="AY20" s="820"/>
      <c r="AZ20" s="820"/>
    </row>
    <row r="23" spans="4:53">
      <c r="D23" s="814" t="s">
        <v>214</v>
      </c>
      <c r="E23" s="814"/>
      <c r="F23" s="814"/>
      <c r="G23" s="814"/>
      <c r="H23" s="814"/>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c r="AM23" s="814"/>
      <c r="AN23" s="814"/>
      <c r="AO23" s="814"/>
      <c r="AP23" s="814"/>
      <c r="AQ23" s="814"/>
      <c r="AR23" s="814"/>
      <c r="AS23" s="814"/>
      <c r="AT23" s="814"/>
      <c r="AU23" s="814"/>
      <c r="AV23" s="814"/>
      <c r="AW23" s="814"/>
      <c r="AX23" s="814"/>
      <c r="AY23" s="814"/>
      <c r="AZ23" s="814"/>
      <c r="BA23" s="814"/>
    </row>
    <row r="24" spans="4:53">
      <c r="D24" s="814"/>
      <c r="E24" s="814"/>
      <c r="F24" s="814"/>
      <c r="G24" s="814"/>
      <c r="H24" s="814"/>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c r="AM24" s="814"/>
      <c r="AN24" s="814"/>
      <c r="AO24" s="814"/>
      <c r="AP24" s="814"/>
      <c r="AQ24" s="814"/>
      <c r="AR24" s="814"/>
      <c r="AS24" s="814"/>
      <c r="AT24" s="814"/>
      <c r="AU24" s="814"/>
      <c r="AV24" s="814"/>
      <c r="AW24" s="814"/>
      <c r="AX24" s="814"/>
      <c r="AY24" s="814"/>
      <c r="AZ24" s="814"/>
      <c r="BA24" s="814"/>
    </row>
    <row r="25" spans="4:53">
      <c r="D25" s="814"/>
      <c r="E25" s="814"/>
      <c r="F25" s="814"/>
      <c r="G25" s="814"/>
      <c r="H25" s="814"/>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c r="AM25" s="814"/>
      <c r="AN25" s="814"/>
      <c r="AO25" s="814"/>
      <c r="AP25" s="814"/>
      <c r="AQ25" s="814"/>
      <c r="AR25" s="814"/>
      <c r="AS25" s="814"/>
      <c r="AT25" s="814"/>
      <c r="AU25" s="814"/>
      <c r="AV25" s="814"/>
      <c r="AW25" s="814"/>
      <c r="AX25" s="814"/>
      <c r="AY25" s="814"/>
      <c r="AZ25" s="814"/>
      <c r="BA25" s="814"/>
    </row>
    <row r="26" spans="4:53">
      <c r="D26" s="814"/>
      <c r="E26" s="814"/>
      <c r="F26" s="814"/>
      <c r="G26" s="814"/>
      <c r="H26" s="814"/>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c r="AM26" s="814"/>
      <c r="AN26" s="814"/>
      <c r="AO26" s="814"/>
      <c r="AP26" s="814"/>
      <c r="AQ26" s="814"/>
      <c r="AR26" s="814"/>
      <c r="AS26" s="814"/>
      <c r="AT26" s="814"/>
      <c r="AU26" s="814"/>
      <c r="AV26" s="814"/>
      <c r="AW26" s="814"/>
      <c r="AX26" s="814"/>
      <c r="AY26" s="814"/>
      <c r="AZ26" s="814"/>
      <c r="BA26" s="814"/>
    </row>
    <row r="30" spans="4:53">
      <c r="K30" s="809" t="s">
        <v>213</v>
      </c>
      <c r="L30" s="809"/>
      <c r="M30" s="809"/>
      <c r="N30" s="809"/>
      <c r="O30" s="809"/>
      <c r="P30" s="809"/>
      <c r="Q30" s="809"/>
      <c r="R30" s="809"/>
      <c r="S30" s="809"/>
      <c r="T30" s="809"/>
      <c r="U30" s="809"/>
      <c r="V30" s="809"/>
      <c r="W30" s="809"/>
      <c r="X30" s="809"/>
      <c r="Y30" s="809"/>
      <c r="Z30" s="809"/>
      <c r="AA30" s="809"/>
      <c r="AB30" s="809"/>
      <c r="AC30" s="809"/>
      <c r="AD30" s="809"/>
      <c r="AE30" s="809"/>
      <c r="AF30" s="809"/>
      <c r="AG30" s="809"/>
      <c r="AH30" s="809"/>
      <c r="AI30" s="809"/>
      <c r="AJ30" s="809"/>
      <c r="AK30" s="809"/>
      <c r="AL30" s="809"/>
      <c r="AM30" s="809"/>
      <c r="AN30" s="809"/>
      <c r="AO30" s="809"/>
      <c r="AP30" s="809"/>
      <c r="AQ30" s="809"/>
      <c r="AR30" s="809"/>
      <c r="AS30" s="809"/>
      <c r="AT30" s="809"/>
      <c r="AU30" s="809"/>
      <c r="AV30" s="809"/>
      <c r="AW30" s="809"/>
      <c r="AX30" s="809"/>
      <c r="AY30" s="809"/>
      <c r="AZ30" s="809"/>
      <c r="BA30" s="809"/>
    </row>
    <row r="31" spans="4:53">
      <c r="K31" s="809"/>
      <c r="L31" s="809"/>
      <c r="M31" s="809"/>
      <c r="N31" s="809"/>
      <c r="O31" s="809"/>
      <c r="P31" s="809"/>
      <c r="Q31" s="809"/>
      <c r="R31" s="809"/>
      <c r="S31" s="809"/>
      <c r="T31" s="809"/>
      <c r="U31" s="809"/>
      <c r="V31" s="809"/>
      <c r="W31" s="809"/>
      <c r="X31" s="809"/>
      <c r="Y31" s="809"/>
      <c r="Z31" s="809"/>
      <c r="AA31" s="809"/>
      <c r="AB31" s="809"/>
      <c r="AC31" s="809"/>
      <c r="AD31" s="809"/>
      <c r="AE31" s="809"/>
      <c r="AF31" s="809"/>
      <c r="AG31" s="809"/>
      <c r="AH31" s="809"/>
      <c r="AI31" s="809"/>
      <c r="AJ31" s="809"/>
      <c r="AK31" s="809"/>
      <c r="AL31" s="809"/>
      <c r="AM31" s="809"/>
      <c r="AN31" s="809"/>
      <c r="AO31" s="809"/>
      <c r="AP31" s="809"/>
      <c r="AQ31" s="809"/>
      <c r="AR31" s="809"/>
      <c r="AS31" s="809"/>
      <c r="AT31" s="809"/>
      <c r="AU31" s="809"/>
      <c r="AV31" s="809"/>
      <c r="AW31" s="809"/>
      <c r="AX31" s="809"/>
      <c r="AY31" s="809"/>
      <c r="AZ31" s="809"/>
      <c r="BA31" s="809"/>
    </row>
    <row r="32" spans="4:53">
      <c r="K32" s="810"/>
      <c r="L32" s="810"/>
      <c r="M32" s="810"/>
      <c r="N32" s="810"/>
      <c r="O32" s="810"/>
      <c r="P32" s="810"/>
      <c r="Q32" s="810"/>
      <c r="R32" s="810"/>
      <c r="S32" s="810"/>
      <c r="T32" s="810"/>
      <c r="U32" s="810"/>
      <c r="V32" s="810"/>
      <c r="W32" s="810"/>
      <c r="X32" s="810"/>
      <c r="Y32" s="810"/>
      <c r="Z32" s="810"/>
      <c r="AA32" s="810"/>
      <c r="AB32" s="810"/>
      <c r="AC32" s="810"/>
      <c r="AD32" s="810"/>
      <c r="AE32" s="810"/>
      <c r="AF32" s="810"/>
      <c r="AG32" s="810"/>
      <c r="AH32" s="810"/>
      <c r="AI32" s="810"/>
      <c r="AJ32" s="810"/>
      <c r="AK32" s="810"/>
      <c r="AL32" s="810"/>
      <c r="AM32" s="810"/>
      <c r="AN32" s="810"/>
      <c r="AO32" s="810"/>
      <c r="AP32" s="810"/>
      <c r="AQ32" s="810"/>
      <c r="AR32" s="810"/>
      <c r="AS32" s="810"/>
      <c r="AT32" s="810"/>
      <c r="AU32" s="810"/>
      <c r="AV32" s="810"/>
      <c r="AW32" s="810"/>
      <c r="AX32" s="810"/>
      <c r="AY32" s="810"/>
      <c r="AZ32" s="810"/>
      <c r="BA32" s="810"/>
    </row>
    <row r="33" spans="1:54">
      <c r="K33" s="809" t="s">
        <v>212</v>
      </c>
      <c r="L33" s="809"/>
      <c r="M33" s="809"/>
      <c r="N33" s="809"/>
      <c r="O33" s="809"/>
      <c r="P33" s="809"/>
      <c r="Q33" s="809"/>
      <c r="R33" s="809"/>
      <c r="S33" s="809"/>
      <c r="T33" s="809"/>
      <c r="U33" s="809"/>
      <c r="V33" s="809"/>
      <c r="W33" s="809"/>
      <c r="X33" s="809"/>
      <c r="Y33" s="809"/>
      <c r="Z33" s="809"/>
      <c r="AA33" s="809"/>
      <c r="AB33" s="809"/>
      <c r="AC33" s="809"/>
      <c r="AD33" s="809"/>
      <c r="AE33" s="809"/>
      <c r="AF33" s="809"/>
      <c r="AG33" s="809"/>
      <c r="AH33" s="809"/>
      <c r="AI33" s="809"/>
      <c r="AJ33" s="809"/>
      <c r="AK33" s="809"/>
      <c r="AL33" s="809"/>
      <c r="AM33" s="809"/>
      <c r="AN33" s="809"/>
      <c r="AO33" s="809"/>
      <c r="AP33" s="809"/>
      <c r="AQ33" s="809"/>
      <c r="AR33" s="809"/>
      <c r="AS33" s="809"/>
      <c r="AT33" s="809"/>
      <c r="AU33" s="809"/>
      <c r="AV33" s="809"/>
      <c r="AW33" s="809"/>
      <c r="AX33" s="809"/>
      <c r="AY33" s="809"/>
      <c r="AZ33" s="809"/>
      <c r="BA33" s="809"/>
    </row>
    <row r="34" spans="1:54">
      <c r="K34" s="809"/>
      <c r="L34" s="809"/>
      <c r="M34" s="809"/>
      <c r="N34" s="809"/>
      <c r="O34" s="809"/>
      <c r="P34" s="809"/>
      <c r="Q34" s="809"/>
      <c r="R34" s="809"/>
      <c r="S34" s="809"/>
      <c r="T34" s="809"/>
      <c r="U34" s="809"/>
      <c r="V34" s="809"/>
      <c r="W34" s="809"/>
      <c r="X34" s="809"/>
      <c r="Y34" s="809"/>
      <c r="Z34" s="809"/>
      <c r="AA34" s="809"/>
      <c r="AB34" s="809"/>
      <c r="AC34" s="809"/>
      <c r="AD34" s="809"/>
      <c r="AE34" s="809"/>
      <c r="AF34" s="809"/>
      <c r="AG34" s="809"/>
      <c r="AH34" s="809"/>
      <c r="AI34" s="809"/>
      <c r="AJ34" s="809"/>
      <c r="AK34" s="809"/>
      <c r="AL34" s="809"/>
      <c r="AM34" s="809"/>
      <c r="AN34" s="809"/>
      <c r="AO34" s="809"/>
      <c r="AP34" s="809"/>
      <c r="AQ34" s="809"/>
      <c r="AR34" s="809"/>
      <c r="AS34" s="809"/>
      <c r="AT34" s="809"/>
      <c r="AU34" s="809"/>
      <c r="AV34" s="809"/>
      <c r="AW34" s="809"/>
      <c r="AX34" s="809"/>
      <c r="AY34" s="809"/>
      <c r="AZ34" s="809"/>
      <c r="BA34" s="809"/>
    </row>
    <row r="35" spans="1:54">
      <c r="K35" s="810"/>
      <c r="L35" s="810"/>
      <c r="M35" s="810"/>
      <c r="N35" s="810"/>
      <c r="O35" s="810"/>
      <c r="P35" s="810"/>
      <c r="Q35" s="810"/>
      <c r="R35" s="810"/>
      <c r="S35" s="810"/>
      <c r="T35" s="810"/>
      <c r="U35" s="810"/>
      <c r="V35" s="810"/>
      <c r="W35" s="810"/>
      <c r="X35" s="810"/>
      <c r="Y35" s="810"/>
      <c r="Z35" s="810"/>
      <c r="AA35" s="810"/>
      <c r="AB35" s="810"/>
      <c r="AC35" s="810"/>
      <c r="AD35" s="810"/>
      <c r="AE35" s="810"/>
      <c r="AF35" s="810"/>
      <c r="AG35" s="810"/>
      <c r="AH35" s="810"/>
      <c r="AI35" s="810"/>
      <c r="AJ35" s="810"/>
      <c r="AK35" s="810"/>
      <c r="AL35" s="810"/>
      <c r="AM35" s="810"/>
      <c r="AN35" s="810"/>
      <c r="AO35" s="810"/>
      <c r="AP35" s="810"/>
      <c r="AQ35" s="810"/>
      <c r="AR35" s="810"/>
      <c r="AS35" s="810"/>
      <c r="AT35" s="810"/>
      <c r="AU35" s="810"/>
      <c r="AV35" s="810"/>
      <c r="AW35" s="810"/>
      <c r="AX35" s="810"/>
      <c r="AY35" s="810"/>
      <c r="AZ35" s="810"/>
      <c r="BA35" s="810"/>
    </row>
    <row r="36" spans="1:54">
      <c r="K36" s="809" t="s">
        <v>211</v>
      </c>
      <c r="L36" s="809"/>
      <c r="M36" s="809"/>
      <c r="N36" s="809"/>
      <c r="O36" s="809"/>
      <c r="P36" s="809"/>
      <c r="Q36" s="809"/>
      <c r="R36" s="809"/>
      <c r="S36" s="809"/>
      <c r="T36" s="809"/>
      <c r="U36" s="809"/>
      <c r="V36" s="809"/>
      <c r="W36" s="809"/>
      <c r="X36" s="809"/>
      <c r="Y36" s="809"/>
      <c r="Z36" s="809"/>
      <c r="AA36" s="809"/>
      <c r="AB36" s="809"/>
      <c r="AC36" s="809"/>
      <c r="AD36" s="809"/>
      <c r="AE36" s="809"/>
      <c r="AF36" s="809"/>
      <c r="AG36" s="809"/>
      <c r="AH36" s="809"/>
      <c r="AI36" s="809"/>
      <c r="AJ36" s="809"/>
      <c r="AK36" s="809"/>
      <c r="AL36" s="809"/>
      <c r="AM36" s="809"/>
      <c r="AN36" s="809"/>
      <c r="AO36" s="809"/>
      <c r="AP36" s="809"/>
      <c r="AQ36" s="809"/>
      <c r="AR36" s="809"/>
      <c r="AS36" s="809"/>
      <c r="AT36" s="809"/>
      <c r="AU36" s="809"/>
      <c r="AV36" s="809"/>
      <c r="AW36" s="809"/>
      <c r="AX36" s="809"/>
      <c r="AY36" s="809"/>
      <c r="AZ36" s="809"/>
      <c r="BA36" s="809"/>
    </row>
    <row r="37" spans="1:54">
      <c r="K37" s="809"/>
      <c r="L37" s="809"/>
      <c r="M37" s="809"/>
      <c r="N37" s="809"/>
      <c r="O37" s="809"/>
      <c r="P37" s="809"/>
      <c r="Q37" s="809"/>
      <c r="R37" s="809"/>
      <c r="S37" s="809"/>
      <c r="T37" s="809"/>
      <c r="U37" s="809"/>
      <c r="V37" s="809"/>
      <c r="W37" s="809"/>
      <c r="X37" s="809"/>
      <c r="Y37" s="809"/>
      <c r="Z37" s="809"/>
      <c r="AA37" s="809"/>
      <c r="AB37" s="809"/>
      <c r="AC37" s="809"/>
      <c r="AD37" s="809"/>
      <c r="AE37" s="809"/>
      <c r="AF37" s="809"/>
      <c r="AG37" s="809"/>
      <c r="AH37" s="809"/>
      <c r="AI37" s="809"/>
      <c r="AJ37" s="809"/>
      <c r="AK37" s="809"/>
      <c r="AL37" s="809"/>
      <c r="AM37" s="809"/>
      <c r="AN37" s="809"/>
      <c r="AO37" s="809"/>
      <c r="AP37" s="809"/>
      <c r="AQ37" s="809"/>
      <c r="AR37" s="809"/>
      <c r="AS37" s="809"/>
      <c r="AT37" s="809"/>
      <c r="AU37" s="809"/>
      <c r="AV37" s="809"/>
      <c r="AW37" s="809"/>
      <c r="AX37" s="809"/>
      <c r="AY37" s="809"/>
      <c r="AZ37" s="809"/>
      <c r="BA37" s="809"/>
    </row>
    <row r="38" spans="1:54">
      <c r="K38" s="810"/>
      <c r="L38" s="810"/>
      <c r="M38" s="810"/>
      <c r="N38" s="810"/>
      <c r="O38" s="810"/>
      <c r="P38" s="810"/>
      <c r="Q38" s="810"/>
      <c r="R38" s="810"/>
      <c r="S38" s="810"/>
      <c r="T38" s="810"/>
      <c r="U38" s="810"/>
      <c r="V38" s="810"/>
      <c r="W38" s="810"/>
      <c r="X38" s="810"/>
      <c r="Y38" s="810"/>
      <c r="Z38" s="810"/>
      <c r="AA38" s="810"/>
      <c r="AB38" s="810"/>
      <c r="AC38" s="810"/>
      <c r="AD38" s="810"/>
      <c r="AE38" s="810"/>
      <c r="AF38" s="810"/>
      <c r="AG38" s="810"/>
      <c r="AH38" s="810"/>
      <c r="AI38" s="810"/>
      <c r="AJ38" s="810"/>
      <c r="AK38" s="810"/>
      <c r="AL38" s="810"/>
      <c r="AM38" s="810"/>
      <c r="AN38" s="810"/>
      <c r="AO38" s="810"/>
      <c r="AP38" s="810"/>
      <c r="AQ38" s="810"/>
      <c r="AR38" s="810"/>
      <c r="AS38" s="810"/>
      <c r="AT38" s="810"/>
      <c r="AU38" s="810"/>
      <c r="AV38" s="810"/>
      <c r="AW38" s="810"/>
      <c r="AX38" s="810"/>
      <c r="AY38" s="810"/>
      <c r="AZ38" s="810"/>
      <c r="BA38" s="810"/>
    </row>
    <row r="41" spans="1:54">
      <c r="D41" s="199" t="s">
        <v>210</v>
      </c>
    </row>
    <row r="42" spans="1:54" ht="13.5" thickBot="1">
      <c r="A42" s="200"/>
      <c r="B42" s="200"/>
      <c r="C42" s="200"/>
      <c r="D42" s="200"/>
      <c r="E42" s="200"/>
      <c r="F42" s="200"/>
      <c r="G42" s="200"/>
      <c r="H42" s="200"/>
      <c r="I42" s="200"/>
      <c r="J42" s="200"/>
      <c r="K42" s="200"/>
      <c r="L42" s="200"/>
      <c r="M42" s="200"/>
      <c r="N42" s="200"/>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00"/>
      <c r="BB42" s="200"/>
    </row>
    <row r="45" spans="1:54">
      <c r="D45" s="199" t="s">
        <v>209</v>
      </c>
    </row>
    <row r="47" spans="1:54">
      <c r="D47" s="815" t="s">
        <v>208</v>
      </c>
      <c r="E47" s="816"/>
      <c r="F47" s="816"/>
      <c r="G47" s="816"/>
      <c r="H47" s="816"/>
      <c r="I47" s="816"/>
      <c r="J47" s="816"/>
      <c r="K47" s="817"/>
      <c r="L47" s="824" t="s">
        <v>207</v>
      </c>
      <c r="M47" s="825"/>
      <c r="N47" s="825"/>
      <c r="O47" s="825"/>
      <c r="P47" s="825"/>
      <c r="Q47" s="825"/>
      <c r="R47" s="825"/>
      <c r="S47" s="825"/>
      <c r="T47" s="825"/>
      <c r="U47" s="825"/>
      <c r="V47" s="825"/>
      <c r="W47" s="825"/>
      <c r="X47" s="825"/>
      <c r="Y47" s="825"/>
      <c r="Z47" s="825"/>
      <c r="AA47" s="825"/>
      <c r="AB47" s="825"/>
      <c r="AC47" s="825"/>
      <c r="AD47" s="825"/>
      <c r="AE47" s="825"/>
      <c r="AF47" s="825"/>
      <c r="AG47" s="825"/>
      <c r="AH47" s="825"/>
      <c r="AI47" s="825"/>
      <c r="AJ47" s="825"/>
      <c r="AK47" s="825"/>
      <c r="AL47" s="825"/>
      <c r="AM47" s="825"/>
      <c r="AN47" s="825"/>
      <c r="AO47" s="825"/>
      <c r="AP47" s="825"/>
      <c r="AQ47" s="825"/>
      <c r="AR47" s="825"/>
      <c r="AS47" s="825"/>
      <c r="AT47" s="825"/>
      <c r="AU47" s="825"/>
      <c r="AV47" s="825"/>
      <c r="AW47" s="825"/>
      <c r="AX47" s="825"/>
      <c r="AY47" s="825"/>
      <c r="AZ47" s="825"/>
      <c r="BA47" s="826"/>
    </row>
    <row r="50" spans="46:53">
      <c r="AT50" s="807" t="s">
        <v>206</v>
      </c>
      <c r="AU50" s="807"/>
      <c r="AV50" s="807"/>
      <c r="AW50" s="807"/>
      <c r="AX50" s="807"/>
      <c r="AY50" s="807"/>
      <c r="AZ50" s="807"/>
      <c r="BA50" s="807"/>
    </row>
    <row r="51" spans="46:53">
      <c r="AT51" s="807"/>
      <c r="AU51" s="807"/>
      <c r="AV51" s="807"/>
      <c r="AW51" s="807"/>
      <c r="AX51" s="807"/>
      <c r="AY51" s="807"/>
      <c r="AZ51" s="807"/>
      <c r="BA51" s="807"/>
    </row>
    <row r="52" spans="46:53">
      <c r="AT52" s="807"/>
      <c r="AU52" s="807"/>
      <c r="AV52" s="807"/>
      <c r="AW52" s="807"/>
      <c r="AX52" s="807"/>
      <c r="AY52" s="807"/>
      <c r="AZ52" s="807"/>
      <c r="BA52" s="807"/>
    </row>
    <row r="53" spans="46:53">
      <c r="AT53" s="807"/>
      <c r="AU53" s="807"/>
      <c r="AV53" s="807"/>
      <c r="AW53" s="807"/>
      <c r="AX53" s="807"/>
      <c r="AY53" s="807"/>
      <c r="AZ53" s="807"/>
      <c r="BA53" s="807"/>
    </row>
    <row r="54" spans="46:53">
      <c r="AT54" s="807"/>
      <c r="AU54" s="807"/>
      <c r="AV54" s="807"/>
      <c r="AW54" s="807"/>
      <c r="AX54" s="807"/>
      <c r="AY54" s="807"/>
      <c r="AZ54" s="807"/>
      <c r="BA54" s="807"/>
    </row>
    <row r="55" spans="46:53">
      <c r="AT55" s="807"/>
      <c r="AU55" s="807"/>
      <c r="AV55" s="807"/>
      <c r="AW55" s="807"/>
      <c r="AX55" s="807"/>
      <c r="AY55" s="807"/>
      <c r="AZ55" s="807"/>
      <c r="BA55" s="807"/>
    </row>
    <row r="56" spans="46:53">
      <c r="AT56" s="807"/>
      <c r="AU56" s="807"/>
      <c r="AV56" s="807"/>
      <c r="AW56" s="807"/>
      <c r="AX56" s="807"/>
      <c r="AY56" s="807"/>
      <c r="AZ56" s="807"/>
      <c r="BA56" s="807"/>
    </row>
    <row r="57" spans="46:53">
      <c r="AT57" s="807"/>
      <c r="AU57" s="807"/>
      <c r="AV57" s="807"/>
      <c r="AW57" s="807"/>
      <c r="AX57" s="807"/>
      <c r="AY57" s="807"/>
      <c r="AZ57" s="807"/>
      <c r="BA57" s="807"/>
    </row>
  </sheetData>
  <mergeCells count="16">
    <mergeCell ref="A3:BB5"/>
    <mergeCell ref="AJ20:AZ20"/>
    <mergeCell ref="K17:R19"/>
    <mergeCell ref="L47:BA47"/>
    <mergeCell ref="AT50:BA50"/>
    <mergeCell ref="AT51:BA57"/>
    <mergeCell ref="K14:R16"/>
    <mergeCell ref="K11:R13"/>
    <mergeCell ref="S14:BA16"/>
    <mergeCell ref="D23:BA26"/>
    <mergeCell ref="K30:BA32"/>
    <mergeCell ref="K33:BA35"/>
    <mergeCell ref="K36:BA38"/>
    <mergeCell ref="D47:K47"/>
    <mergeCell ref="S11:BA13"/>
    <mergeCell ref="Z18:AS19"/>
  </mergeCells>
  <phoneticPr fontId="3"/>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BB33"/>
  <sheetViews>
    <sheetView showZeros="0" workbookViewId="0">
      <selection activeCell="AG33" sqref="AG33"/>
    </sheetView>
  </sheetViews>
  <sheetFormatPr defaultColWidth="1.453125" defaultRowHeight="13"/>
  <cols>
    <col min="1" max="16384" width="1.453125" style="204"/>
  </cols>
  <sheetData>
    <row r="1" spans="1:54">
      <c r="A1" s="827" t="s">
        <v>236</v>
      </c>
      <c r="B1" s="827"/>
      <c r="C1" s="827"/>
      <c r="D1" s="827"/>
      <c r="E1" s="827"/>
      <c r="F1" s="827"/>
      <c r="G1" s="827"/>
      <c r="H1" s="827"/>
      <c r="I1" s="827"/>
      <c r="J1" s="827"/>
      <c r="K1" s="827"/>
      <c r="L1" s="827"/>
      <c r="M1" s="827"/>
      <c r="N1" s="827"/>
      <c r="O1" s="827"/>
      <c r="P1" s="827"/>
      <c r="Q1" s="827"/>
      <c r="R1" s="827"/>
      <c r="S1" s="827"/>
      <c r="T1" s="827"/>
      <c r="U1" s="827"/>
      <c r="V1" s="827"/>
      <c r="W1" s="827"/>
      <c r="X1" s="827"/>
      <c r="Y1" s="827"/>
      <c r="Z1" s="827"/>
      <c r="AA1" s="827"/>
      <c r="AB1" s="827"/>
      <c r="AC1" s="827"/>
      <c r="AD1" s="827"/>
      <c r="AE1" s="827"/>
      <c r="AF1" s="827"/>
      <c r="AG1" s="827"/>
      <c r="AH1" s="827"/>
      <c r="AI1" s="827"/>
      <c r="AJ1" s="827"/>
      <c r="AK1" s="827"/>
      <c r="AL1" s="827"/>
      <c r="AM1" s="827"/>
      <c r="AN1" s="827"/>
      <c r="AO1" s="827"/>
      <c r="AP1" s="827"/>
      <c r="AQ1" s="827"/>
      <c r="AR1" s="827"/>
      <c r="AS1" s="827"/>
      <c r="AT1" s="827"/>
      <c r="AU1" s="827"/>
      <c r="AV1" s="827"/>
      <c r="AW1" s="827"/>
      <c r="AX1" s="827"/>
      <c r="AY1" s="827"/>
      <c r="AZ1" s="827"/>
      <c r="BA1" s="827"/>
      <c r="BB1" s="827"/>
    </row>
    <row r="2" spans="1:54">
      <c r="A2" s="827"/>
      <c r="B2" s="827"/>
      <c r="C2" s="827"/>
      <c r="D2" s="827"/>
      <c r="E2" s="827"/>
      <c r="F2" s="827"/>
      <c r="G2" s="827"/>
      <c r="H2" s="827"/>
      <c r="I2" s="827"/>
      <c r="J2" s="827"/>
      <c r="K2" s="827"/>
      <c r="L2" s="827"/>
      <c r="M2" s="827"/>
      <c r="N2" s="827"/>
      <c r="O2" s="827"/>
      <c r="P2" s="827"/>
      <c r="Q2" s="827"/>
      <c r="R2" s="827"/>
      <c r="S2" s="827"/>
      <c r="T2" s="827"/>
      <c r="U2" s="827"/>
      <c r="V2" s="827"/>
      <c r="W2" s="827"/>
      <c r="X2" s="827"/>
      <c r="Y2" s="827"/>
      <c r="Z2" s="827"/>
      <c r="AA2" s="827"/>
      <c r="AB2" s="827"/>
      <c r="AC2" s="827"/>
      <c r="AD2" s="827"/>
      <c r="AE2" s="827"/>
      <c r="AF2" s="827"/>
      <c r="AG2" s="827"/>
      <c r="AH2" s="827"/>
      <c r="AI2" s="827"/>
      <c r="AJ2" s="827"/>
      <c r="AK2" s="827"/>
      <c r="AL2" s="827"/>
      <c r="AM2" s="827"/>
      <c r="AN2" s="827"/>
      <c r="AO2" s="827"/>
      <c r="AP2" s="827"/>
      <c r="AQ2" s="827"/>
      <c r="AR2" s="827"/>
      <c r="AS2" s="827"/>
      <c r="AT2" s="827"/>
      <c r="AU2" s="827"/>
      <c r="AV2" s="827"/>
      <c r="AW2" s="827"/>
      <c r="AX2" s="827"/>
      <c r="AY2" s="827"/>
      <c r="AZ2" s="827"/>
      <c r="BA2" s="827"/>
      <c r="BB2" s="827"/>
    </row>
    <row r="4" spans="1:54">
      <c r="A4" s="204" t="s">
        <v>221</v>
      </c>
    </row>
    <row r="5" spans="1:54">
      <c r="A5" s="204" t="s">
        <v>235</v>
      </c>
    </row>
    <row r="7" spans="1:54">
      <c r="AL7" s="204" t="s">
        <v>234</v>
      </c>
    </row>
    <row r="9" spans="1:54">
      <c r="T9" s="204" t="s">
        <v>233</v>
      </c>
    </row>
    <row r="11" spans="1:54">
      <c r="U11" s="204" t="s">
        <v>232</v>
      </c>
      <c r="Y11" s="205"/>
      <c r="Z11" s="205"/>
      <c r="AA11" s="205"/>
      <c r="AB11" s="205"/>
      <c r="AC11" s="205"/>
      <c r="AD11" s="205"/>
      <c r="AE11" s="205"/>
      <c r="AF11" s="205"/>
      <c r="AG11" s="205"/>
      <c r="AH11" s="205"/>
      <c r="AI11" s="205"/>
      <c r="AJ11" s="205"/>
      <c r="AK11" s="205"/>
      <c r="AL11" s="205"/>
      <c r="AM11" s="205"/>
      <c r="AN11" s="205"/>
      <c r="AO11" s="205"/>
      <c r="AP11" s="205"/>
      <c r="AQ11" s="205"/>
      <c r="AR11" s="205"/>
      <c r="AS11" s="205"/>
      <c r="AT11" s="205"/>
    </row>
    <row r="14" spans="1:54">
      <c r="U14" s="204" t="s">
        <v>231</v>
      </c>
      <c r="Y14" s="205"/>
      <c r="Z14" s="205"/>
      <c r="AA14" s="205"/>
      <c r="AB14" s="205"/>
      <c r="AC14" s="205"/>
      <c r="AD14" s="205"/>
      <c r="AE14" s="205"/>
      <c r="AF14" s="205"/>
      <c r="AG14" s="205"/>
      <c r="AH14" s="205"/>
      <c r="AI14" s="205"/>
      <c r="AJ14" s="205"/>
      <c r="AK14" s="205"/>
      <c r="AL14" s="205"/>
      <c r="AM14" s="205"/>
      <c r="AN14" s="205"/>
      <c r="AO14" s="205"/>
      <c r="AP14" s="205"/>
      <c r="AQ14" s="205"/>
      <c r="AR14" s="205"/>
      <c r="AS14" s="205"/>
      <c r="AT14" s="205"/>
    </row>
    <row r="17" spans="6:46">
      <c r="U17" s="204" t="s">
        <v>230</v>
      </c>
      <c r="Y17" s="205"/>
      <c r="Z17" s="205" t="s">
        <v>229</v>
      </c>
      <c r="AA17" s="205"/>
      <c r="AB17" s="205"/>
      <c r="AC17" s="205"/>
      <c r="AD17" s="205"/>
      <c r="AE17" s="205" t="s">
        <v>134</v>
      </c>
      <c r="AF17" s="205"/>
      <c r="AG17" s="205"/>
      <c r="AH17" s="205"/>
      <c r="AI17" s="205"/>
      <c r="AJ17" s="205"/>
      <c r="AK17" s="205" t="s">
        <v>228</v>
      </c>
      <c r="AL17" s="205"/>
      <c r="AM17" s="205"/>
      <c r="AN17" s="205"/>
      <c r="AO17" s="205"/>
      <c r="AP17" s="205"/>
      <c r="AQ17" s="205"/>
      <c r="AR17" s="205"/>
      <c r="AS17" s="205"/>
      <c r="AT17" s="205"/>
    </row>
    <row r="24" spans="6:46">
      <c r="F24" s="204" t="s">
        <v>227</v>
      </c>
      <c r="P24" s="828">
        <f>基本情報!B3</f>
        <v>0</v>
      </c>
      <c r="Q24" s="828"/>
      <c r="R24" s="828"/>
      <c r="S24" s="828"/>
      <c r="T24" s="828"/>
      <c r="U24" s="828"/>
      <c r="V24" s="828"/>
      <c r="W24" s="828"/>
      <c r="X24" s="828"/>
      <c r="Y24" s="828"/>
      <c r="Z24" s="828"/>
      <c r="AA24" s="828"/>
      <c r="AB24" s="828"/>
      <c r="AC24" s="204" t="s">
        <v>226</v>
      </c>
    </row>
    <row r="27" spans="6:46">
      <c r="F27" s="829">
        <f>基本情報!B5</f>
        <v>0</v>
      </c>
      <c r="G27" s="829"/>
      <c r="H27" s="829"/>
      <c r="I27" s="829"/>
      <c r="J27" s="829"/>
      <c r="K27" s="829"/>
      <c r="L27" s="829"/>
      <c r="M27" s="829"/>
      <c r="N27" s="829"/>
      <c r="O27" s="829"/>
      <c r="P27" s="829"/>
      <c r="Q27" s="829"/>
      <c r="R27" s="829"/>
      <c r="S27" s="829"/>
      <c r="T27" s="829"/>
      <c r="U27" s="829"/>
      <c r="V27" s="829"/>
      <c r="W27" s="829"/>
      <c r="X27" s="829"/>
      <c r="Y27" s="829"/>
      <c r="Z27" s="829"/>
      <c r="AA27" s="829"/>
      <c r="AB27" s="829"/>
      <c r="AC27" s="829"/>
      <c r="AD27" s="829"/>
      <c r="AE27" s="829"/>
      <c r="AF27" s="829"/>
      <c r="AG27" s="829"/>
      <c r="AH27" s="829"/>
      <c r="AI27" s="829"/>
      <c r="AJ27" s="829"/>
      <c r="AK27" s="204" t="s">
        <v>225</v>
      </c>
    </row>
    <row r="30" spans="6:46">
      <c r="F30" s="204" t="s">
        <v>224</v>
      </c>
    </row>
    <row r="33" spans="6:6">
      <c r="F33" s="204" t="s">
        <v>223</v>
      </c>
    </row>
  </sheetData>
  <mergeCells count="3">
    <mergeCell ref="A1:BB2"/>
    <mergeCell ref="P24:AB24"/>
    <mergeCell ref="F27:AJ27"/>
  </mergeCells>
  <phoneticPr fontId="3"/>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6C07E-2B48-4E34-934A-B52B396E3F4A}">
  <sheetPr>
    <tabColor rgb="FF00B0F0"/>
    <pageSetUpPr fitToPage="1"/>
  </sheetPr>
  <dimension ref="A1:AL43"/>
  <sheetViews>
    <sheetView zoomScale="65" zoomScaleNormal="65" workbookViewId="0">
      <selection activeCell="U11" sqref="U11:AL11"/>
    </sheetView>
  </sheetViews>
  <sheetFormatPr defaultColWidth="9" defaultRowHeight="13"/>
  <cols>
    <col min="1" max="1" width="3.08984375" style="299" customWidth="1"/>
    <col min="2" max="2" width="9.08984375" style="299" customWidth="1"/>
    <col min="3" max="3" width="5.6328125" style="299" customWidth="1"/>
    <col min="4" max="6" width="5.453125" style="299" customWidth="1"/>
    <col min="7" max="7" width="4.453125" style="299" customWidth="1"/>
    <col min="8" max="8" width="5.36328125" style="299" customWidth="1"/>
    <col min="9" max="9" width="2.453125" style="299" customWidth="1"/>
    <col min="10" max="10" width="7.81640625" style="299" customWidth="1"/>
    <col min="11" max="11" width="10" style="299" customWidth="1"/>
    <col min="12" max="12" width="6.453125" style="299" customWidth="1"/>
    <col min="13" max="13" width="5.81640625" style="299" customWidth="1"/>
    <col min="14" max="14" width="5" style="299" customWidth="1"/>
    <col min="15" max="16" width="6.453125" style="299" customWidth="1"/>
    <col min="17" max="17" width="1.36328125" style="299" customWidth="1"/>
    <col min="18" max="18" width="3.36328125" style="299" customWidth="1"/>
    <col min="19" max="19" width="4.36328125" style="299" customWidth="1"/>
    <col min="20" max="20" width="13.6328125" style="299" customWidth="1"/>
    <col min="21" max="21" width="7.36328125" style="299" customWidth="1"/>
    <col min="22" max="23" width="5.453125" style="299" customWidth="1"/>
    <col min="24" max="24" width="2.6328125" style="299" customWidth="1"/>
    <col min="25" max="25" width="0.36328125" style="299" customWidth="1"/>
    <col min="26" max="26" width="3" style="299" customWidth="1"/>
    <col min="27" max="27" width="3.453125" style="299" customWidth="1"/>
    <col min="28" max="28" width="3.81640625" style="299" customWidth="1"/>
    <col min="29" max="29" width="1.453125" style="299" customWidth="1"/>
    <col min="30" max="30" width="4.6328125" style="299" customWidth="1"/>
    <col min="31" max="31" width="3" style="299" customWidth="1"/>
    <col min="32" max="32" width="4" style="299" customWidth="1"/>
    <col min="33" max="38" width="2.453125" style="299" customWidth="1"/>
    <col min="39" max="16384" width="9" style="299"/>
  </cols>
  <sheetData>
    <row r="1" spans="1:38" ht="24" customHeight="1">
      <c r="A1" s="337" t="s">
        <v>432</v>
      </c>
    </row>
    <row r="2" spans="1:38" ht="20.25" customHeight="1">
      <c r="A2" s="325" t="s">
        <v>431</v>
      </c>
    </row>
    <row r="3" spans="1:38" ht="15" customHeight="1">
      <c r="A3" s="839" t="s">
        <v>430</v>
      </c>
      <c r="B3" s="856" t="s">
        <v>429</v>
      </c>
      <c r="C3" s="883">
        <f>基本情報!B7</f>
        <v>0</v>
      </c>
      <c r="D3" s="831"/>
      <c r="E3" s="831"/>
      <c r="F3" s="831"/>
      <c r="G3" s="832"/>
      <c r="H3" s="336"/>
      <c r="I3" s="306"/>
      <c r="J3" s="318"/>
      <c r="K3" s="335"/>
      <c r="L3" s="334" t="s">
        <v>428</v>
      </c>
      <c r="M3" s="306"/>
      <c r="N3" s="306"/>
      <c r="O3" s="306"/>
      <c r="P3" s="320"/>
      <c r="R3" s="839" t="s">
        <v>427</v>
      </c>
      <c r="S3" s="830" t="s">
        <v>426</v>
      </c>
      <c r="T3" s="832"/>
      <c r="U3" s="865">
        <v>45437</v>
      </c>
      <c r="V3" s="831"/>
      <c r="W3" s="831"/>
      <c r="X3" s="831"/>
      <c r="Y3" s="320"/>
      <c r="Z3" s="830" t="s">
        <v>425</v>
      </c>
      <c r="AA3" s="831"/>
      <c r="AB3" s="832"/>
      <c r="AC3" s="321"/>
      <c r="AD3" s="882">
        <v>45437</v>
      </c>
      <c r="AE3" s="831"/>
      <c r="AF3" s="831"/>
      <c r="AG3" s="831"/>
      <c r="AH3" s="831"/>
      <c r="AI3" s="831"/>
      <c r="AJ3" s="831"/>
      <c r="AK3" s="831"/>
      <c r="AL3" s="832"/>
    </row>
    <row r="4" spans="1:38" ht="15" customHeight="1">
      <c r="A4" s="840"/>
      <c r="B4" s="857"/>
      <c r="C4" s="833"/>
      <c r="D4" s="834"/>
      <c r="E4" s="834"/>
      <c r="F4" s="834"/>
      <c r="G4" s="835"/>
      <c r="H4" s="333" t="s">
        <v>424</v>
      </c>
      <c r="J4" s="332" t="s">
        <v>423</v>
      </c>
      <c r="K4" s="326" t="s">
        <v>422</v>
      </c>
      <c r="L4" s="331" t="s">
        <v>421</v>
      </c>
      <c r="N4" s="330" t="s">
        <v>420</v>
      </c>
      <c r="O4" s="317" t="s">
        <v>419</v>
      </c>
      <c r="P4" s="316" t="s">
        <v>418</v>
      </c>
      <c r="R4" s="840"/>
      <c r="S4" s="833"/>
      <c r="T4" s="835"/>
      <c r="U4" s="833"/>
      <c r="V4" s="834"/>
      <c r="W4" s="834"/>
      <c r="X4" s="834"/>
      <c r="Y4" s="303"/>
      <c r="Z4" s="833"/>
      <c r="AA4" s="834"/>
      <c r="AB4" s="835"/>
      <c r="AC4" s="304"/>
      <c r="AD4" s="834"/>
      <c r="AE4" s="834"/>
      <c r="AF4" s="834"/>
      <c r="AG4" s="834"/>
      <c r="AH4" s="834"/>
      <c r="AI4" s="834"/>
      <c r="AJ4" s="834"/>
      <c r="AK4" s="834"/>
      <c r="AL4" s="835"/>
    </row>
    <row r="5" spans="1:38" ht="15" customHeight="1">
      <c r="A5" s="840"/>
      <c r="B5" s="858"/>
      <c r="C5" s="836"/>
      <c r="D5" s="837"/>
      <c r="E5" s="837"/>
      <c r="F5" s="837"/>
      <c r="G5" s="838"/>
      <c r="H5" s="329"/>
      <c r="I5" s="301"/>
      <c r="J5" s="315"/>
      <c r="K5" s="328"/>
      <c r="L5" s="327" t="s">
        <v>417</v>
      </c>
      <c r="M5" s="301"/>
      <c r="N5" s="301"/>
      <c r="O5" s="301"/>
      <c r="P5" s="300"/>
      <c r="R5" s="840"/>
      <c r="S5" s="836"/>
      <c r="T5" s="838"/>
      <c r="U5" s="836"/>
      <c r="V5" s="837"/>
      <c r="W5" s="837"/>
      <c r="X5" s="837"/>
      <c r="Y5" s="300"/>
      <c r="Z5" s="836"/>
      <c r="AA5" s="837"/>
      <c r="AB5" s="838"/>
      <c r="AC5" s="302"/>
      <c r="AD5" s="837"/>
      <c r="AE5" s="837"/>
      <c r="AF5" s="837"/>
      <c r="AG5" s="837"/>
      <c r="AH5" s="837"/>
      <c r="AI5" s="837"/>
      <c r="AJ5" s="837"/>
      <c r="AK5" s="837"/>
      <c r="AL5" s="838"/>
    </row>
    <row r="6" spans="1:38" ht="26.25" customHeight="1">
      <c r="A6" s="840"/>
      <c r="B6" s="856" t="s">
        <v>416</v>
      </c>
      <c r="C6" s="830">
        <f>基本情報!B3</f>
        <v>0</v>
      </c>
      <c r="D6" s="831"/>
      <c r="E6" s="831"/>
      <c r="F6" s="831"/>
      <c r="G6" s="832"/>
      <c r="H6" s="893" t="s">
        <v>415</v>
      </c>
      <c r="I6" s="893"/>
      <c r="J6" s="894"/>
      <c r="K6" s="879" t="s">
        <v>414</v>
      </c>
      <c r="L6" s="878"/>
      <c r="M6" s="877" t="s">
        <v>413</v>
      </c>
      <c r="N6" s="877"/>
      <c r="O6" s="877"/>
      <c r="P6" s="878"/>
      <c r="R6" s="840"/>
      <c r="S6" s="879" t="s">
        <v>412</v>
      </c>
      <c r="T6" s="878"/>
      <c r="U6" s="884" t="s">
        <v>241</v>
      </c>
      <c r="V6" s="885"/>
      <c r="W6" s="885"/>
      <c r="X6" s="885"/>
      <c r="Y6" s="885"/>
      <c r="Z6" s="885"/>
      <c r="AA6" s="885"/>
      <c r="AB6" s="885"/>
      <c r="AC6" s="885"/>
      <c r="AD6" s="885"/>
      <c r="AE6" s="885"/>
      <c r="AF6" s="885"/>
      <c r="AG6" s="885"/>
      <c r="AH6" s="885"/>
      <c r="AI6" s="885"/>
      <c r="AJ6" s="885"/>
      <c r="AK6" s="885"/>
      <c r="AL6" s="886"/>
    </row>
    <row r="7" spans="1:38" ht="26.25" customHeight="1">
      <c r="A7" s="840"/>
      <c r="B7" s="857"/>
      <c r="C7" s="833"/>
      <c r="D7" s="834"/>
      <c r="E7" s="834"/>
      <c r="F7" s="834"/>
      <c r="G7" s="835"/>
      <c r="H7" s="895" t="s">
        <v>411</v>
      </c>
      <c r="I7" s="895"/>
      <c r="J7" s="896"/>
      <c r="K7" s="830" t="s">
        <v>410</v>
      </c>
      <c r="L7" s="832"/>
      <c r="M7" s="831" t="s">
        <v>409</v>
      </c>
      <c r="N7" s="831"/>
      <c r="O7" s="831"/>
      <c r="P7" s="832"/>
      <c r="R7" s="840"/>
      <c r="S7" s="842" t="s">
        <v>408</v>
      </c>
      <c r="T7" s="880" t="s">
        <v>407</v>
      </c>
      <c r="U7" s="887" t="s">
        <v>240</v>
      </c>
      <c r="V7" s="888"/>
      <c r="W7" s="888"/>
      <c r="X7" s="888"/>
      <c r="Y7" s="888"/>
      <c r="Z7" s="888"/>
      <c r="AA7" s="888"/>
      <c r="AB7" s="888"/>
      <c r="AC7" s="888"/>
      <c r="AD7" s="888"/>
      <c r="AE7" s="888"/>
      <c r="AF7" s="888"/>
      <c r="AG7" s="888"/>
      <c r="AH7" s="888"/>
      <c r="AI7" s="888"/>
      <c r="AJ7" s="888"/>
      <c r="AK7" s="888"/>
      <c r="AL7" s="889"/>
    </row>
    <row r="8" spans="1:38" ht="7.5" customHeight="1">
      <c r="A8" s="840"/>
      <c r="B8" s="858"/>
      <c r="C8" s="836"/>
      <c r="D8" s="837"/>
      <c r="E8" s="837"/>
      <c r="F8" s="837"/>
      <c r="G8" s="838"/>
      <c r="H8" s="897"/>
      <c r="I8" s="897"/>
      <c r="J8" s="898"/>
      <c r="K8" s="836"/>
      <c r="L8" s="838"/>
      <c r="M8" s="837"/>
      <c r="N8" s="837"/>
      <c r="O8" s="837"/>
      <c r="P8" s="838"/>
      <c r="R8" s="840"/>
      <c r="S8" s="843"/>
      <c r="T8" s="881"/>
      <c r="U8" s="890"/>
      <c r="V8" s="891"/>
      <c r="W8" s="891"/>
      <c r="X8" s="891"/>
      <c r="Y8" s="891"/>
      <c r="Z8" s="891"/>
      <c r="AA8" s="891"/>
      <c r="AB8" s="891"/>
      <c r="AC8" s="891"/>
      <c r="AD8" s="891"/>
      <c r="AE8" s="891"/>
      <c r="AF8" s="891"/>
      <c r="AG8" s="891"/>
      <c r="AH8" s="891"/>
      <c r="AI8" s="891"/>
      <c r="AJ8" s="891"/>
      <c r="AK8" s="891"/>
      <c r="AL8" s="892"/>
    </row>
    <row r="9" spans="1:38" ht="17.25" customHeight="1">
      <c r="A9" s="840"/>
      <c r="B9" s="842" t="s">
        <v>406</v>
      </c>
      <c r="C9" s="830">
        <f>基本情報!B5</f>
        <v>0</v>
      </c>
      <c r="D9" s="831"/>
      <c r="E9" s="831"/>
      <c r="F9" s="831"/>
      <c r="G9" s="831"/>
      <c r="H9" s="831"/>
      <c r="I9" s="831"/>
      <c r="J9" s="831"/>
      <c r="K9" s="831"/>
      <c r="L9" s="831"/>
      <c r="M9" s="831"/>
      <c r="N9" s="831"/>
      <c r="O9" s="831"/>
      <c r="P9" s="832"/>
      <c r="R9" s="840"/>
      <c r="S9" s="830" t="s">
        <v>398</v>
      </c>
      <c r="T9" s="832"/>
      <c r="U9" s="887"/>
      <c r="V9" s="888"/>
      <c r="W9" s="888"/>
      <c r="X9" s="888"/>
      <c r="Y9" s="888"/>
      <c r="Z9" s="888"/>
      <c r="AA9" s="888"/>
      <c r="AB9" s="888"/>
      <c r="AC9" s="888"/>
      <c r="AD9" s="888"/>
      <c r="AE9" s="888"/>
      <c r="AF9" s="888"/>
      <c r="AG9" s="888"/>
      <c r="AH9" s="888"/>
      <c r="AI9" s="888"/>
      <c r="AJ9" s="888"/>
      <c r="AK9" s="888"/>
      <c r="AL9" s="889"/>
    </row>
    <row r="10" spans="1:38" ht="17.25" customHeight="1">
      <c r="A10" s="840"/>
      <c r="B10" s="855"/>
      <c r="C10" s="833"/>
      <c r="D10" s="834"/>
      <c r="E10" s="834"/>
      <c r="F10" s="834"/>
      <c r="G10" s="834"/>
      <c r="H10" s="834"/>
      <c r="I10" s="834"/>
      <c r="J10" s="834"/>
      <c r="K10" s="834"/>
      <c r="L10" s="834"/>
      <c r="M10" s="834"/>
      <c r="N10" s="834"/>
      <c r="O10" s="834"/>
      <c r="P10" s="835"/>
      <c r="R10" s="840"/>
      <c r="S10" s="836"/>
      <c r="T10" s="838"/>
      <c r="U10" s="890"/>
      <c r="V10" s="891"/>
      <c r="W10" s="891"/>
      <c r="X10" s="891"/>
      <c r="Y10" s="891"/>
      <c r="Z10" s="891"/>
      <c r="AA10" s="891"/>
      <c r="AB10" s="891"/>
      <c r="AC10" s="891"/>
      <c r="AD10" s="891"/>
      <c r="AE10" s="891"/>
      <c r="AF10" s="891"/>
      <c r="AG10" s="891"/>
      <c r="AH10" s="891"/>
      <c r="AI10" s="891"/>
      <c r="AJ10" s="891"/>
      <c r="AK10" s="891"/>
      <c r="AL10" s="892"/>
    </row>
    <row r="11" spans="1:38" ht="32.25" customHeight="1">
      <c r="A11" s="841"/>
      <c r="B11" s="843"/>
      <c r="C11" s="836"/>
      <c r="D11" s="837"/>
      <c r="E11" s="837"/>
      <c r="F11" s="837"/>
      <c r="G11" s="837"/>
      <c r="H11" s="837"/>
      <c r="I11" s="837"/>
      <c r="J11" s="837"/>
      <c r="K11" s="837"/>
      <c r="L11" s="837"/>
      <c r="M11" s="837"/>
      <c r="N11" s="837"/>
      <c r="O11" s="837"/>
      <c r="P11" s="838"/>
      <c r="R11" s="841"/>
      <c r="S11" s="879" t="s">
        <v>405</v>
      </c>
      <c r="T11" s="878"/>
      <c r="U11" s="884" t="s">
        <v>239</v>
      </c>
      <c r="V11" s="885"/>
      <c r="W11" s="885"/>
      <c r="X11" s="885"/>
      <c r="Y11" s="885"/>
      <c r="Z11" s="885"/>
      <c r="AA11" s="885"/>
      <c r="AB11" s="885"/>
      <c r="AC11" s="885"/>
      <c r="AD11" s="885"/>
      <c r="AE11" s="885"/>
      <c r="AF11" s="885"/>
      <c r="AG11" s="885"/>
      <c r="AH11" s="885"/>
      <c r="AI11" s="885"/>
      <c r="AJ11" s="885"/>
      <c r="AK11" s="885"/>
      <c r="AL11" s="886"/>
    </row>
    <row r="12" spans="1:38" ht="14.25" customHeight="1"/>
    <row r="13" spans="1:38" ht="15.75" customHeight="1">
      <c r="A13" s="839" t="s">
        <v>404</v>
      </c>
      <c r="B13" s="842" t="s">
        <v>403</v>
      </c>
      <c r="C13" s="875"/>
      <c r="D13" s="853" t="s">
        <v>402</v>
      </c>
      <c r="E13" s="853" t="s">
        <v>401</v>
      </c>
      <c r="F13" s="853" t="s">
        <v>400</v>
      </c>
      <c r="G13" s="839" t="s">
        <v>399</v>
      </c>
      <c r="H13" s="321"/>
      <c r="I13" s="306"/>
      <c r="J13" s="306"/>
      <c r="K13" s="306"/>
      <c r="L13" s="306"/>
      <c r="M13" s="306"/>
      <c r="N13" s="306"/>
      <c r="O13" s="306"/>
      <c r="P13" s="306"/>
      <c r="Q13" s="306"/>
      <c r="R13" s="306"/>
      <c r="S13" s="306"/>
      <c r="T13" s="306"/>
      <c r="U13" s="306"/>
      <c r="V13" s="306"/>
      <c r="W13" s="306"/>
      <c r="X13" s="306"/>
      <c r="Y13" s="306"/>
      <c r="Z13" s="306"/>
      <c r="AA13" s="306"/>
      <c r="AB13" s="306"/>
      <c r="AC13" s="306"/>
      <c r="AD13" s="306"/>
      <c r="AE13" s="306"/>
      <c r="AF13" s="306"/>
      <c r="AG13" s="306"/>
      <c r="AH13" s="306"/>
      <c r="AI13" s="306"/>
      <c r="AJ13" s="306"/>
      <c r="AK13" s="306"/>
      <c r="AL13" s="320"/>
    </row>
    <row r="14" spans="1:38" ht="15.75" customHeight="1">
      <c r="A14" s="840"/>
      <c r="B14" s="843"/>
      <c r="C14" s="876"/>
      <c r="D14" s="854"/>
      <c r="E14" s="854"/>
      <c r="F14" s="854"/>
      <c r="G14" s="840"/>
      <c r="H14" s="304"/>
      <c r="AL14" s="303"/>
    </row>
    <row r="15" spans="1:38" ht="15.75" customHeight="1">
      <c r="A15" s="840"/>
      <c r="B15" s="842" t="s">
        <v>398</v>
      </c>
      <c r="C15" s="321"/>
      <c r="D15" s="306"/>
      <c r="E15" s="306"/>
      <c r="F15" s="320"/>
      <c r="G15" s="840"/>
      <c r="H15" s="304"/>
      <c r="AL15" s="303"/>
    </row>
    <row r="16" spans="1:38" ht="15.75" customHeight="1">
      <c r="A16" s="841"/>
      <c r="B16" s="843"/>
      <c r="C16" s="302"/>
      <c r="D16" s="301"/>
      <c r="E16" s="301"/>
      <c r="F16" s="300"/>
      <c r="G16" s="841"/>
      <c r="H16" s="302"/>
      <c r="I16" s="301"/>
      <c r="J16" s="301"/>
      <c r="K16" s="301"/>
      <c r="L16" s="301"/>
      <c r="M16" s="301"/>
      <c r="N16" s="301"/>
      <c r="O16" s="301"/>
      <c r="P16" s="301"/>
      <c r="Q16" s="301"/>
      <c r="R16" s="301"/>
      <c r="S16" s="301"/>
      <c r="T16" s="301"/>
      <c r="U16" s="301"/>
      <c r="V16" s="301"/>
      <c r="W16" s="301"/>
      <c r="X16" s="301"/>
      <c r="Y16" s="301"/>
      <c r="Z16" s="301"/>
      <c r="AA16" s="301"/>
      <c r="AB16" s="301"/>
      <c r="AC16" s="301"/>
      <c r="AD16" s="301"/>
      <c r="AE16" s="301"/>
      <c r="AF16" s="301"/>
      <c r="AG16" s="301"/>
      <c r="AH16" s="301"/>
      <c r="AI16" s="301"/>
      <c r="AJ16" s="301"/>
      <c r="AK16" s="301"/>
      <c r="AL16" s="300"/>
    </row>
    <row r="17" spans="1:38" ht="11.25" customHeight="1"/>
    <row r="18" spans="1:38" ht="21" customHeight="1">
      <c r="A18" s="325" t="s">
        <v>397</v>
      </c>
    </row>
    <row r="19" spans="1:38" ht="16.5" customHeight="1">
      <c r="A19" s="844" t="s">
        <v>396</v>
      </c>
      <c r="B19" s="845"/>
      <c r="C19" s="846"/>
      <c r="D19" s="859"/>
      <c r="E19" s="860"/>
      <c r="F19" s="860"/>
      <c r="G19" s="860"/>
      <c r="H19" s="860"/>
      <c r="I19" s="860"/>
      <c r="J19" s="860"/>
      <c r="K19" s="860"/>
      <c r="L19" s="860"/>
      <c r="M19" s="860"/>
      <c r="N19" s="860"/>
      <c r="O19" s="860"/>
      <c r="P19" s="860"/>
      <c r="Q19" s="860"/>
      <c r="R19" s="860"/>
      <c r="S19" s="860"/>
      <c r="T19" s="860"/>
      <c r="U19" s="860"/>
      <c r="V19" s="860"/>
      <c r="W19" s="860"/>
      <c r="X19" s="860"/>
      <c r="Y19" s="320"/>
      <c r="Z19" s="321"/>
      <c r="AA19" s="306"/>
      <c r="AB19" s="306"/>
      <c r="AC19" s="306" t="s">
        <v>395</v>
      </c>
      <c r="AD19" s="306"/>
      <c r="AE19" s="306"/>
      <c r="AF19" s="306"/>
      <c r="AG19" s="306"/>
      <c r="AH19" s="306"/>
      <c r="AI19" s="306"/>
      <c r="AJ19" s="306"/>
      <c r="AK19" s="306"/>
      <c r="AL19" s="320"/>
    </row>
    <row r="20" spans="1:38" ht="16.5" customHeight="1">
      <c r="A20" s="847"/>
      <c r="B20" s="848"/>
      <c r="C20" s="849"/>
      <c r="D20" s="861"/>
      <c r="E20" s="862"/>
      <c r="F20" s="862"/>
      <c r="G20" s="862"/>
      <c r="H20" s="862"/>
      <c r="I20" s="862"/>
      <c r="J20" s="862"/>
      <c r="K20" s="862"/>
      <c r="L20" s="862"/>
      <c r="M20" s="862"/>
      <c r="N20" s="862"/>
      <c r="O20" s="862"/>
      <c r="P20" s="862"/>
      <c r="Q20" s="862"/>
      <c r="R20" s="862"/>
      <c r="S20" s="862"/>
      <c r="T20" s="862"/>
      <c r="U20" s="862"/>
      <c r="V20" s="862"/>
      <c r="W20" s="862"/>
      <c r="X20" s="862"/>
      <c r="Y20" s="303"/>
      <c r="Z20" s="302"/>
      <c r="AA20" s="301"/>
      <c r="AB20" s="301" t="s">
        <v>394</v>
      </c>
      <c r="AC20" s="301"/>
      <c r="AD20" s="301"/>
      <c r="AE20" s="301"/>
      <c r="AF20" s="301"/>
      <c r="AG20" s="324" t="s">
        <v>392</v>
      </c>
      <c r="AH20" s="323" t="s">
        <v>391</v>
      </c>
      <c r="AI20" s="322" t="s">
        <v>393</v>
      </c>
      <c r="AJ20" s="324" t="s">
        <v>392</v>
      </c>
      <c r="AK20" s="323" t="s">
        <v>391</v>
      </c>
      <c r="AL20" s="322" t="s">
        <v>390</v>
      </c>
    </row>
    <row r="21" spans="1:38" ht="16.5" customHeight="1">
      <c r="A21" s="847"/>
      <c r="B21" s="848"/>
      <c r="C21" s="849"/>
      <c r="D21" s="861"/>
      <c r="E21" s="862"/>
      <c r="F21" s="862"/>
      <c r="G21" s="862"/>
      <c r="H21" s="862"/>
      <c r="I21" s="862"/>
      <c r="J21" s="862"/>
      <c r="K21" s="862"/>
      <c r="L21" s="862"/>
      <c r="M21" s="862"/>
      <c r="N21" s="862"/>
      <c r="O21" s="862"/>
      <c r="P21" s="862"/>
      <c r="Q21" s="862"/>
      <c r="R21" s="862"/>
      <c r="S21" s="862"/>
      <c r="T21" s="862"/>
      <c r="U21" s="862"/>
      <c r="V21" s="862"/>
      <c r="W21" s="862"/>
      <c r="X21" s="862"/>
      <c r="Y21" s="303"/>
      <c r="Z21" s="319" t="s">
        <v>373</v>
      </c>
      <c r="AA21" s="306" t="s">
        <v>389</v>
      </c>
      <c r="AB21" s="306"/>
      <c r="AC21" s="306"/>
      <c r="AD21" s="306"/>
      <c r="AE21" s="306"/>
      <c r="AF21" s="306"/>
      <c r="AG21" s="321"/>
      <c r="AH21" s="306" t="s">
        <v>370</v>
      </c>
      <c r="AI21" s="320"/>
      <c r="AJ21" s="321"/>
      <c r="AK21" s="306" t="s">
        <v>370</v>
      </c>
      <c r="AL21" s="320"/>
    </row>
    <row r="22" spans="1:38" ht="16.5" customHeight="1">
      <c r="A22" s="847"/>
      <c r="B22" s="848"/>
      <c r="C22" s="849"/>
      <c r="D22" s="861"/>
      <c r="E22" s="862"/>
      <c r="F22" s="862"/>
      <c r="G22" s="862"/>
      <c r="H22" s="862"/>
      <c r="I22" s="862"/>
      <c r="J22" s="862"/>
      <c r="K22" s="862"/>
      <c r="L22" s="862"/>
      <c r="M22" s="862"/>
      <c r="N22" s="862"/>
      <c r="O22" s="862"/>
      <c r="P22" s="862"/>
      <c r="Q22" s="862"/>
      <c r="R22" s="862"/>
      <c r="S22" s="862"/>
      <c r="T22" s="862"/>
      <c r="U22" s="862"/>
      <c r="V22" s="862"/>
      <c r="W22" s="862"/>
      <c r="X22" s="862"/>
      <c r="Y22" s="303"/>
      <c r="Z22" s="305" t="s">
        <v>373</v>
      </c>
      <c r="AA22" s="299" t="s">
        <v>388</v>
      </c>
      <c r="AG22" s="304"/>
      <c r="AH22" s="299" t="s">
        <v>370</v>
      </c>
      <c r="AI22" s="303"/>
      <c r="AJ22" s="304"/>
      <c r="AK22" s="299" t="s">
        <v>370</v>
      </c>
      <c r="AL22" s="303"/>
    </row>
    <row r="23" spans="1:38" ht="16.5" customHeight="1">
      <c r="A23" s="847"/>
      <c r="B23" s="848"/>
      <c r="C23" s="849"/>
      <c r="D23" s="861"/>
      <c r="E23" s="862"/>
      <c r="F23" s="862"/>
      <c r="G23" s="862"/>
      <c r="H23" s="862"/>
      <c r="I23" s="862"/>
      <c r="J23" s="862"/>
      <c r="K23" s="862"/>
      <c r="L23" s="862"/>
      <c r="M23" s="862"/>
      <c r="N23" s="862"/>
      <c r="O23" s="862"/>
      <c r="P23" s="862"/>
      <c r="Q23" s="862"/>
      <c r="R23" s="862"/>
      <c r="S23" s="862"/>
      <c r="T23" s="862"/>
      <c r="U23" s="862"/>
      <c r="V23" s="862"/>
      <c r="W23" s="862"/>
      <c r="X23" s="862"/>
      <c r="Y23" s="303"/>
      <c r="Z23" s="305" t="s">
        <v>373</v>
      </c>
      <c r="AA23" s="299" t="s">
        <v>387</v>
      </c>
      <c r="AG23" s="304"/>
      <c r="AH23" s="299" t="s">
        <v>370</v>
      </c>
      <c r="AI23" s="303"/>
      <c r="AJ23" s="304"/>
      <c r="AK23" s="299" t="s">
        <v>370</v>
      </c>
      <c r="AL23" s="303"/>
    </row>
    <row r="24" spans="1:38" ht="16.5" customHeight="1">
      <c r="A24" s="850"/>
      <c r="B24" s="851"/>
      <c r="C24" s="852"/>
      <c r="D24" s="863"/>
      <c r="E24" s="864"/>
      <c r="F24" s="864"/>
      <c r="G24" s="864"/>
      <c r="H24" s="864"/>
      <c r="I24" s="864"/>
      <c r="J24" s="864"/>
      <c r="K24" s="864"/>
      <c r="L24" s="864"/>
      <c r="M24" s="864"/>
      <c r="N24" s="864"/>
      <c r="O24" s="864"/>
      <c r="P24" s="864"/>
      <c r="Q24" s="864"/>
      <c r="R24" s="864"/>
      <c r="S24" s="864"/>
      <c r="T24" s="864"/>
      <c r="U24" s="864"/>
      <c r="V24" s="864"/>
      <c r="W24" s="864"/>
      <c r="X24" s="864"/>
      <c r="Y24" s="300"/>
      <c r="Z24" s="305" t="s">
        <v>373</v>
      </c>
      <c r="AA24" s="299" t="s">
        <v>386</v>
      </c>
      <c r="AG24" s="304"/>
      <c r="AH24" s="299" t="s">
        <v>370</v>
      </c>
      <c r="AI24" s="303"/>
      <c r="AJ24" s="304"/>
      <c r="AK24" s="299" t="s">
        <v>370</v>
      </c>
      <c r="AL24" s="303"/>
    </row>
    <row r="25" spans="1:38" ht="16.5" customHeight="1">
      <c r="A25" s="830" t="s">
        <v>385</v>
      </c>
      <c r="B25" s="831"/>
      <c r="C25" s="832"/>
      <c r="D25" s="859"/>
      <c r="E25" s="860"/>
      <c r="F25" s="860"/>
      <c r="G25" s="860"/>
      <c r="H25" s="860"/>
      <c r="I25" s="860"/>
      <c r="J25" s="860"/>
      <c r="K25" s="860"/>
      <c r="L25" s="860"/>
      <c r="M25" s="860"/>
      <c r="N25" s="860"/>
      <c r="O25" s="860"/>
      <c r="P25" s="860"/>
      <c r="Q25" s="860"/>
      <c r="R25" s="860"/>
      <c r="S25" s="860"/>
      <c r="T25" s="860"/>
      <c r="U25" s="860"/>
      <c r="V25" s="860"/>
      <c r="W25" s="860"/>
      <c r="X25" s="860"/>
      <c r="Y25" s="303"/>
      <c r="Z25" s="305" t="s">
        <v>373</v>
      </c>
      <c r="AA25" s="299" t="s">
        <v>384</v>
      </c>
      <c r="AG25" s="304"/>
      <c r="AH25" s="299" t="s">
        <v>370</v>
      </c>
      <c r="AI25" s="303"/>
      <c r="AJ25" s="304"/>
      <c r="AK25" s="299" t="s">
        <v>370</v>
      </c>
      <c r="AL25" s="303"/>
    </row>
    <row r="26" spans="1:38" ht="16.5" customHeight="1">
      <c r="A26" s="833"/>
      <c r="B26" s="834"/>
      <c r="C26" s="835"/>
      <c r="D26" s="861"/>
      <c r="E26" s="862"/>
      <c r="F26" s="862"/>
      <c r="G26" s="862"/>
      <c r="H26" s="862"/>
      <c r="I26" s="862"/>
      <c r="J26" s="862"/>
      <c r="K26" s="862"/>
      <c r="L26" s="862"/>
      <c r="M26" s="862"/>
      <c r="N26" s="862"/>
      <c r="O26" s="862"/>
      <c r="P26" s="862"/>
      <c r="Q26" s="862"/>
      <c r="R26" s="862"/>
      <c r="S26" s="862"/>
      <c r="T26" s="862"/>
      <c r="U26" s="862"/>
      <c r="V26" s="862"/>
      <c r="W26" s="862"/>
      <c r="X26" s="862"/>
      <c r="Y26" s="303"/>
      <c r="Z26" s="305" t="s">
        <v>373</v>
      </c>
      <c r="AA26" s="299" t="s">
        <v>383</v>
      </c>
      <c r="AG26" s="304"/>
      <c r="AH26" s="299" t="s">
        <v>370</v>
      </c>
      <c r="AI26" s="303"/>
      <c r="AJ26" s="304"/>
      <c r="AK26" s="299" t="s">
        <v>370</v>
      </c>
      <c r="AL26" s="303"/>
    </row>
    <row r="27" spans="1:38" ht="16.5" customHeight="1">
      <c r="A27" s="833"/>
      <c r="B27" s="834"/>
      <c r="C27" s="835"/>
      <c r="D27" s="861"/>
      <c r="E27" s="862"/>
      <c r="F27" s="862"/>
      <c r="G27" s="862"/>
      <c r="H27" s="862"/>
      <c r="I27" s="862"/>
      <c r="J27" s="862"/>
      <c r="K27" s="862"/>
      <c r="L27" s="862"/>
      <c r="M27" s="862"/>
      <c r="N27" s="862"/>
      <c r="O27" s="862"/>
      <c r="P27" s="862"/>
      <c r="Q27" s="862"/>
      <c r="R27" s="862"/>
      <c r="S27" s="862"/>
      <c r="T27" s="862"/>
      <c r="U27" s="862"/>
      <c r="V27" s="862"/>
      <c r="W27" s="862"/>
      <c r="X27" s="862"/>
      <c r="Y27" s="303"/>
      <c r="Z27" s="305" t="s">
        <v>373</v>
      </c>
      <c r="AA27" s="299" t="s">
        <v>382</v>
      </c>
      <c r="AG27" s="304"/>
      <c r="AH27" s="299" t="s">
        <v>370</v>
      </c>
      <c r="AI27" s="303"/>
      <c r="AJ27" s="304"/>
      <c r="AK27" s="299" t="s">
        <v>370</v>
      </c>
      <c r="AL27" s="303"/>
    </row>
    <row r="28" spans="1:38" ht="16.5" customHeight="1">
      <c r="A28" s="833"/>
      <c r="B28" s="834"/>
      <c r="C28" s="835"/>
      <c r="D28" s="861"/>
      <c r="E28" s="862"/>
      <c r="F28" s="862"/>
      <c r="G28" s="862"/>
      <c r="H28" s="862"/>
      <c r="I28" s="862"/>
      <c r="J28" s="862"/>
      <c r="K28" s="862"/>
      <c r="L28" s="862"/>
      <c r="M28" s="862"/>
      <c r="N28" s="862"/>
      <c r="O28" s="862"/>
      <c r="P28" s="862"/>
      <c r="Q28" s="862"/>
      <c r="R28" s="862"/>
      <c r="S28" s="862"/>
      <c r="T28" s="862"/>
      <c r="U28" s="862"/>
      <c r="V28" s="862"/>
      <c r="W28" s="862"/>
      <c r="X28" s="862"/>
      <c r="Y28" s="303"/>
      <c r="Z28" s="305" t="s">
        <v>373</v>
      </c>
      <c r="AA28" s="299" t="s">
        <v>381</v>
      </c>
      <c r="AG28" s="304"/>
      <c r="AH28" s="299" t="s">
        <v>370</v>
      </c>
      <c r="AI28" s="303"/>
      <c r="AJ28" s="304"/>
      <c r="AK28" s="299" t="s">
        <v>370</v>
      </c>
      <c r="AL28" s="303"/>
    </row>
    <row r="29" spans="1:38" ht="16.5" customHeight="1">
      <c r="A29" s="836"/>
      <c r="B29" s="837"/>
      <c r="C29" s="838"/>
      <c r="D29" s="863"/>
      <c r="E29" s="864"/>
      <c r="F29" s="864"/>
      <c r="G29" s="864"/>
      <c r="H29" s="864"/>
      <c r="I29" s="864"/>
      <c r="J29" s="864"/>
      <c r="K29" s="864"/>
      <c r="L29" s="864"/>
      <c r="M29" s="864"/>
      <c r="N29" s="864"/>
      <c r="O29" s="864"/>
      <c r="P29" s="864"/>
      <c r="Q29" s="864"/>
      <c r="R29" s="864"/>
      <c r="S29" s="864"/>
      <c r="T29" s="864"/>
      <c r="U29" s="864"/>
      <c r="V29" s="864"/>
      <c r="W29" s="864"/>
      <c r="X29" s="864"/>
      <c r="Y29" s="300"/>
      <c r="Z29" s="305" t="s">
        <v>373</v>
      </c>
      <c r="AA29" s="314" t="s">
        <v>380</v>
      </c>
      <c r="AG29" s="304"/>
      <c r="AH29" s="299" t="s">
        <v>370</v>
      </c>
      <c r="AI29" s="303"/>
      <c r="AJ29" s="304"/>
      <c r="AK29" s="299" t="s">
        <v>370</v>
      </c>
      <c r="AL29" s="303"/>
    </row>
    <row r="30" spans="1:38" ht="16.5" customHeight="1">
      <c r="A30" s="866" t="s">
        <v>379</v>
      </c>
      <c r="B30" s="867"/>
      <c r="C30" s="868"/>
      <c r="D30" s="859"/>
      <c r="E30" s="860"/>
      <c r="F30" s="860"/>
      <c r="G30" s="860"/>
      <c r="H30" s="860"/>
      <c r="I30" s="860"/>
      <c r="J30" s="860"/>
      <c r="K30" s="860"/>
      <c r="L30" s="860"/>
      <c r="M30" s="860"/>
      <c r="N30" s="860"/>
      <c r="O30" s="860"/>
      <c r="P30" s="860"/>
      <c r="Q30" s="860"/>
      <c r="R30" s="860"/>
      <c r="S30" s="860"/>
      <c r="T30" s="860"/>
      <c r="U30" s="860"/>
      <c r="V30" s="860"/>
      <c r="W30" s="860"/>
      <c r="X30" s="860"/>
      <c r="Y30" s="303"/>
      <c r="Z30" s="305" t="s">
        <v>373</v>
      </c>
      <c r="AA30" s="299" t="s">
        <v>378</v>
      </c>
      <c r="AG30" s="304"/>
      <c r="AH30" s="299" t="s">
        <v>370</v>
      </c>
      <c r="AI30" s="303"/>
      <c r="AJ30" s="304"/>
      <c r="AK30" s="299" t="s">
        <v>370</v>
      </c>
      <c r="AL30" s="303"/>
    </row>
    <row r="31" spans="1:38" ht="16.5" customHeight="1">
      <c r="A31" s="869"/>
      <c r="B31" s="870"/>
      <c r="C31" s="871"/>
      <c r="D31" s="861"/>
      <c r="E31" s="862"/>
      <c r="F31" s="862"/>
      <c r="G31" s="862"/>
      <c r="H31" s="862"/>
      <c r="I31" s="862"/>
      <c r="J31" s="862"/>
      <c r="K31" s="862"/>
      <c r="L31" s="862"/>
      <c r="M31" s="862"/>
      <c r="N31" s="862"/>
      <c r="O31" s="862"/>
      <c r="P31" s="862"/>
      <c r="Q31" s="862"/>
      <c r="R31" s="862"/>
      <c r="S31" s="862"/>
      <c r="T31" s="862"/>
      <c r="U31" s="862"/>
      <c r="V31" s="862"/>
      <c r="W31" s="862"/>
      <c r="X31" s="862"/>
      <c r="Y31" s="303"/>
      <c r="Z31" s="305" t="s">
        <v>373</v>
      </c>
      <c r="AA31" s="299" t="s">
        <v>377</v>
      </c>
      <c r="AG31" s="304"/>
      <c r="AH31" s="299" t="s">
        <v>370</v>
      </c>
      <c r="AI31" s="303"/>
      <c r="AJ31" s="304"/>
      <c r="AK31" s="299" t="s">
        <v>370</v>
      </c>
      <c r="AL31" s="303"/>
    </row>
    <row r="32" spans="1:38" ht="16.5" customHeight="1">
      <c r="A32" s="869"/>
      <c r="B32" s="870"/>
      <c r="C32" s="871"/>
      <c r="D32" s="861"/>
      <c r="E32" s="862"/>
      <c r="F32" s="862"/>
      <c r="G32" s="862"/>
      <c r="H32" s="862"/>
      <c r="I32" s="862"/>
      <c r="J32" s="862"/>
      <c r="K32" s="862"/>
      <c r="L32" s="862"/>
      <c r="M32" s="862"/>
      <c r="N32" s="862"/>
      <c r="O32" s="862"/>
      <c r="P32" s="862"/>
      <c r="Q32" s="862"/>
      <c r="R32" s="862"/>
      <c r="S32" s="862"/>
      <c r="T32" s="862"/>
      <c r="U32" s="862"/>
      <c r="V32" s="862"/>
      <c r="W32" s="862"/>
      <c r="X32" s="862"/>
      <c r="Y32" s="303"/>
      <c r="Z32" s="305" t="s">
        <v>373</v>
      </c>
      <c r="AA32" s="299" t="s">
        <v>376</v>
      </c>
      <c r="AG32" s="304"/>
      <c r="AH32" s="299" t="s">
        <v>370</v>
      </c>
      <c r="AI32" s="303"/>
      <c r="AJ32" s="304"/>
      <c r="AK32" s="299" t="s">
        <v>370</v>
      </c>
      <c r="AL32" s="303"/>
    </row>
    <row r="33" spans="1:38" ht="16.5" customHeight="1">
      <c r="A33" s="869"/>
      <c r="B33" s="870"/>
      <c r="C33" s="871"/>
      <c r="D33" s="861"/>
      <c r="E33" s="862"/>
      <c r="F33" s="862"/>
      <c r="G33" s="862"/>
      <c r="H33" s="862"/>
      <c r="I33" s="862"/>
      <c r="J33" s="862"/>
      <c r="K33" s="862"/>
      <c r="L33" s="862"/>
      <c r="M33" s="862"/>
      <c r="N33" s="862"/>
      <c r="O33" s="862"/>
      <c r="P33" s="862"/>
      <c r="Q33" s="862"/>
      <c r="R33" s="862"/>
      <c r="S33" s="862"/>
      <c r="T33" s="862"/>
      <c r="U33" s="862"/>
      <c r="V33" s="862"/>
      <c r="W33" s="862"/>
      <c r="X33" s="862"/>
      <c r="Y33" s="303"/>
      <c r="Z33" s="305" t="s">
        <v>373</v>
      </c>
      <c r="AA33" s="299" t="s">
        <v>375</v>
      </c>
      <c r="AG33" s="304"/>
      <c r="AH33" s="299" t="s">
        <v>370</v>
      </c>
      <c r="AI33" s="303"/>
      <c r="AJ33" s="304"/>
      <c r="AK33" s="299" t="s">
        <v>370</v>
      </c>
      <c r="AL33" s="303"/>
    </row>
    <row r="34" spans="1:38" ht="16.5" customHeight="1">
      <c r="A34" s="869"/>
      <c r="B34" s="870"/>
      <c r="C34" s="871"/>
      <c r="D34" s="861"/>
      <c r="E34" s="862"/>
      <c r="F34" s="862"/>
      <c r="G34" s="862"/>
      <c r="H34" s="862"/>
      <c r="I34" s="862"/>
      <c r="J34" s="862"/>
      <c r="K34" s="862"/>
      <c r="L34" s="862"/>
      <c r="M34" s="862"/>
      <c r="N34" s="862"/>
      <c r="O34" s="862"/>
      <c r="P34" s="862"/>
      <c r="Q34" s="862"/>
      <c r="R34" s="862"/>
      <c r="S34" s="862"/>
      <c r="T34" s="862"/>
      <c r="U34" s="862"/>
      <c r="V34" s="862"/>
      <c r="W34" s="862"/>
      <c r="X34" s="862"/>
      <c r="Y34" s="303"/>
      <c r="Z34" s="313" t="s">
        <v>373</v>
      </c>
      <c r="AA34" s="311" t="s">
        <v>374</v>
      </c>
      <c r="AB34" s="311"/>
      <c r="AC34" s="311"/>
      <c r="AD34" s="311"/>
      <c r="AE34" s="311"/>
      <c r="AF34" s="311"/>
      <c r="AG34" s="312"/>
      <c r="AH34" s="311" t="s">
        <v>370</v>
      </c>
      <c r="AI34" s="310"/>
      <c r="AJ34" s="312"/>
      <c r="AK34" s="311" t="s">
        <v>370</v>
      </c>
      <c r="AL34" s="310"/>
    </row>
    <row r="35" spans="1:38" ht="16.5" customHeight="1">
      <c r="A35" s="869"/>
      <c r="B35" s="870"/>
      <c r="C35" s="871"/>
      <c r="D35" s="861"/>
      <c r="E35" s="862"/>
      <c r="F35" s="862"/>
      <c r="G35" s="862"/>
      <c r="H35" s="862"/>
      <c r="I35" s="862"/>
      <c r="J35" s="862"/>
      <c r="K35" s="862"/>
      <c r="L35" s="862"/>
      <c r="M35" s="862"/>
      <c r="N35" s="862"/>
      <c r="O35" s="862"/>
      <c r="P35" s="862"/>
      <c r="Q35" s="862"/>
      <c r="R35" s="862"/>
      <c r="S35" s="862"/>
      <c r="T35" s="862"/>
      <c r="U35" s="862"/>
      <c r="V35" s="862"/>
      <c r="W35" s="862"/>
      <c r="X35" s="862"/>
      <c r="Y35" s="303"/>
      <c r="Z35" s="305" t="s">
        <v>373</v>
      </c>
      <c r="AA35" s="299" t="s">
        <v>372</v>
      </c>
      <c r="AG35" s="309"/>
      <c r="AH35" s="308"/>
      <c r="AI35" s="308"/>
      <c r="AJ35" s="309"/>
      <c r="AK35" s="308"/>
      <c r="AL35" s="307"/>
    </row>
    <row r="36" spans="1:38" ht="16.5" customHeight="1">
      <c r="A36" s="869"/>
      <c r="B36" s="870"/>
      <c r="C36" s="871"/>
      <c r="D36" s="861"/>
      <c r="E36" s="862"/>
      <c r="F36" s="862"/>
      <c r="G36" s="862"/>
      <c r="H36" s="862"/>
      <c r="I36" s="862"/>
      <c r="J36" s="862"/>
      <c r="K36" s="862"/>
      <c r="L36" s="862"/>
      <c r="M36" s="862"/>
      <c r="N36" s="862"/>
      <c r="O36" s="862"/>
      <c r="P36" s="862"/>
      <c r="Q36" s="862"/>
      <c r="R36" s="862"/>
      <c r="S36" s="862"/>
      <c r="T36" s="862"/>
      <c r="U36" s="862"/>
      <c r="V36" s="862"/>
      <c r="W36" s="862"/>
      <c r="X36" s="862"/>
      <c r="Y36" s="303"/>
      <c r="Z36" s="305"/>
      <c r="AG36" s="304"/>
      <c r="AJ36" s="304"/>
      <c r="AL36" s="303"/>
    </row>
    <row r="37" spans="1:38" ht="16.5" customHeight="1">
      <c r="A37" s="869"/>
      <c r="B37" s="870"/>
      <c r="C37" s="871"/>
      <c r="D37" s="861"/>
      <c r="E37" s="862"/>
      <c r="F37" s="862"/>
      <c r="G37" s="862"/>
      <c r="H37" s="862"/>
      <c r="I37" s="862"/>
      <c r="J37" s="862"/>
      <c r="K37" s="862"/>
      <c r="L37" s="862"/>
      <c r="M37" s="862"/>
      <c r="N37" s="862"/>
      <c r="O37" s="862"/>
      <c r="P37" s="862"/>
      <c r="Q37" s="862"/>
      <c r="R37" s="862"/>
      <c r="S37" s="862"/>
      <c r="T37" s="862"/>
      <c r="U37" s="862"/>
      <c r="V37" s="862"/>
      <c r="W37" s="862"/>
      <c r="X37" s="862"/>
      <c r="Y37" s="303"/>
      <c r="Z37" s="305"/>
      <c r="AG37" s="304"/>
      <c r="AJ37" s="304"/>
      <c r="AL37" s="303"/>
    </row>
    <row r="38" spans="1:38" ht="16.5" customHeight="1">
      <c r="A38" s="869"/>
      <c r="B38" s="870"/>
      <c r="C38" s="871"/>
      <c r="D38" s="861"/>
      <c r="E38" s="862"/>
      <c r="F38" s="862"/>
      <c r="G38" s="862"/>
      <c r="H38" s="862"/>
      <c r="I38" s="862"/>
      <c r="J38" s="862"/>
      <c r="K38" s="862"/>
      <c r="L38" s="862"/>
      <c r="M38" s="862"/>
      <c r="N38" s="862"/>
      <c r="O38" s="862"/>
      <c r="P38" s="862"/>
      <c r="Q38" s="862"/>
      <c r="R38" s="862"/>
      <c r="S38" s="862"/>
      <c r="T38" s="862"/>
      <c r="U38" s="862"/>
      <c r="V38" s="862"/>
      <c r="W38" s="862"/>
      <c r="X38" s="862"/>
      <c r="Y38" s="303"/>
      <c r="Z38" s="305" t="s">
        <v>371</v>
      </c>
      <c r="AB38" s="301"/>
      <c r="AC38" s="301"/>
      <c r="AD38" s="301"/>
      <c r="AE38" s="301"/>
      <c r="AG38" s="304"/>
      <c r="AH38" s="299" t="s">
        <v>370</v>
      </c>
      <c r="AJ38" s="304"/>
      <c r="AK38" s="299" t="s">
        <v>370</v>
      </c>
      <c r="AL38" s="303"/>
    </row>
    <row r="39" spans="1:38" ht="16.5" customHeight="1">
      <c r="A39" s="869"/>
      <c r="B39" s="870"/>
      <c r="C39" s="871"/>
      <c r="D39" s="861"/>
      <c r="E39" s="862"/>
      <c r="F39" s="862"/>
      <c r="G39" s="862"/>
      <c r="H39" s="862"/>
      <c r="I39" s="862"/>
      <c r="J39" s="862"/>
      <c r="K39" s="862"/>
      <c r="L39" s="862"/>
      <c r="M39" s="862"/>
      <c r="N39" s="862"/>
      <c r="O39" s="862"/>
      <c r="P39" s="862"/>
      <c r="Q39" s="862"/>
      <c r="R39" s="862"/>
      <c r="S39" s="862"/>
      <c r="T39" s="862"/>
      <c r="U39" s="862"/>
      <c r="V39" s="862"/>
      <c r="W39" s="862"/>
      <c r="X39" s="862"/>
      <c r="Y39" s="303"/>
      <c r="Z39" s="305"/>
      <c r="AG39" s="304"/>
      <c r="AJ39" s="304"/>
      <c r="AL39" s="303"/>
    </row>
    <row r="40" spans="1:38" ht="16.5" customHeight="1">
      <c r="A40" s="869"/>
      <c r="B40" s="870"/>
      <c r="C40" s="871"/>
      <c r="D40" s="861"/>
      <c r="E40" s="862"/>
      <c r="F40" s="862"/>
      <c r="G40" s="862"/>
      <c r="H40" s="862"/>
      <c r="I40" s="862"/>
      <c r="J40" s="862"/>
      <c r="K40" s="862"/>
      <c r="L40" s="862"/>
      <c r="M40" s="862"/>
      <c r="N40" s="862"/>
      <c r="O40" s="862"/>
      <c r="P40" s="862"/>
      <c r="Q40" s="862"/>
      <c r="R40" s="862"/>
      <c r="S40" s="862"/>
      <c r="T40" s="862"/>
      <c r="U40" s="862"/>
      <c r="V40" s="862"/>
      <c r="W40" s="862"/>
      <c r="X40" s="862"/>
      <c r="Y40" s="303"/>
      <c r="Z40" s="305" t="s">
        <v>371</v>
      </c>
      <c r="AB40" s="301"/>
      <c r="AC40" s="301"/>
      <c r="AD40" s="301"/>
      <c r="AE40" s="301"/>
      <c r="AG40" s="304"/>
      <c r="AH40" s="299" t="s">
        <v>370</v>
      </c>
      <c r="AJ40" s="304"/>
      <c r="AK40" s="299" t="s">
        <v>370</v>
      </c>
      <c r="AL40" s="303"/>
    </row>
    <row r="41" spans="1:38" ht="16.5" customHeight="1">
      <c r="A41" s="869"/>
      <c r="B41" s="870"/>
      <c r="C41" s="871"/>
      <c r="D41" s="861"/>
      <c r="E41" s="862"/>
      <c r="F41" s="862"/>
      <c r="G41" s="862"/>
      <c r="H41" s="862"/>
      <c r="I41" s="862"/>
      <c r="J41" s="862"/>
      <c r="K41" s="862"/>
      <c r="L41" s="862"/>
      <c r="M41" s="862"/>
      <c r="N41" s="862"/>
      <c r="O41" s="862"/>
      <c r="P41" s="862"/>
      <c r="Q41" s="862"/>
      <c r="R41" s="862"/>
      <c r="S41" s="862"/>
      <c r="T41" s="862"/>
      <c r="U41" s="862"/>
      <c r="V41" s="862"/>
      <c r="W41" s="862"/>
      <c r="X41" s="862"/>
      <c r="Y41" s="303"/>
      <c r="Z41" s="305"/>
      <c r="AB41" s="306"/>
      <c r="AC41" s="306"/>
      <c r="AD41" s="306"/>
      <c r="AE41" s="306"/>
      <c r="AG41" s="304"/>
      <c r="AJ41" s="304"/>
      <c r="AL41" s="303"/>
    </row>
    <row r="42" spans="1:38" ht="16.5" customHeight="1">
      <c r="A42" s="869"/>
      <c r="B42" s="870"/>
      <c r="C42" s="871"/>
      <c r="D42" s="861"/>
      <c r="E42" s="862"/>
      <c r="F42" s="862"/>
      <c r="G42" s="862"/>
      <c r="H42" s="862"/>
      <c r="I42" s="862"/>
      <c r="J42" s="862"/>
      <c r="K42" s="862"/>
      <c r="L42" s="862"/>
      <c r="M42" s="862"/>
      <c r="N42" s="862"/>
      <c r="O42" s="862"/>
      <c r="P42" s="862"/>
      <c r="Q42" s="862"/>
      <c r="R42" s="862"/>
      <c r="S42" s="862"/>
      <c r="T42" s="862"/>
      <c r="U42" s="862"/>
      <c r="V42" s="862"/>
      <c r="W42" s="862"/>
      <c r="X42" s="862"/>
      <c r="Y42" s="303"/>
      <c r="Z42" s="305" t="s">
        <v>371</v>
      </c>
      <c r="AB42" s="301"/>
      <c r="AC42" s="301"/>
      <c r="AD42" s="301"/>
      <c r="AE42" s="301"/>
      <c r="AG42" s="304"/>
      <c r="AH42" s="299" t="s">
        <v>370</v>
      </c>
      <c r="AJ42" s="304"/>
      <c r="AK42" s="299" t="s">
        <v>370</v>
      </c>
      <c r="AL42" s="303"/>
    </row>
    <row r="43" spans="1:38" ht="16.5" customHeight="1">
      <c r="A43" s="872"/>
      <c r="B43" s="873"/>
      <c r="C43" s="874"/>
      <c r="D43" s="863"/>
      <c r="E43" s="864"/>
      <c r="F43" s="864"/>
      <c r="G43" s="864"/>
      <c r="H43" s="864"/>
      <c r="I43" s="864"/>
      <c r="J43" s="864"/>
      <c r="K43" s="864"/>
      <c r="L43" s="864"/>
      <c r="M43" s="864"/>
      <c r="N43" s="864"/>
      <c r="O43" s="864"/>
      <c r="P43" s="864"/>
      <c r="Q43" s="864"/>
      <c r="R43" s="864"/>
      <c r="S43" s="864"/>
      <c r="T43" s="864"/>
      <c r="U43" s="864"/>
      <c r="V43" s="864"/>
      <c r="W43" s="864"/>
      <c r="X43" s="864"/>
      <c r="Y43" s="300"/>
      <c r="Z43" s="302"/>
      <c r="AA43" s="301"/>
      <c r="AB43" s="301"/>
      <c r="AC43" s="301"/>
      <c r="AD43" s="301"/>
      <c r="AE43" s="301"/>
      <c r="AF43" s="301"/>
      <c r="AG43" s="302"/>
      <c r="AH43" s="301"/>
      <c r="AI43" s="301"/>
      <c r="AJ43" s="302"/>
      <c r="AK43" s="301"/>
      <c r="AL43" s="300"/>
    </row>
  </sheetData>
  <mergeCells count="41">
    <mergeCell ref="AD3:AL5"/>
    <mergeCell ref="C3:G5"/>
    <mergeCell ref="U11:AL11"/>
    <mergeCell ref="U9:AL10"/>
    <mergeCell ref="U7:AL8"/>
    <mergeCell ref="H6:J6"/>
    <mergeCell ref="C9:P11"/>
    <mergeCell ref="C6:G8"/>
    <mergeCell ref="R3:R11"/>
    <mergeCell ref="S3:T5"/>
    <mergeCell ref="Z3:AB5"/>
    <mergeCell ref="K7:L8"/>
    <mergeCell ref="U6:AL6"/>
    <mergeCell ref="H7:J8"/>
    <mergeCell ref="S9:T10"/>
    <mergeCell ref="S11:T11"/>
    <mergeCell ref="D30:X43"/>
    <mergeCell ref="D25:X29"/>
    <mergeCell ref="D19:X24"/>
    <mergeCell ref="U3:X5"/>
    <mergeCell ref="A30:C43"/>
    <mergeCell ref="A13:A16"/>
    <mergeCell ref="B13:B14"/>
    <mergeCell ref="C13:C14"/>
    <mergeCell ref="D13:D14"/>
    <mergeCell ref="E13:E14"/>
    <mergeCell ref="M6:P6"/>
    <mergeCell ref="M7:P8"/>
    <mergeCell ref="K6:L6"/>
    <mergeCell ref="S6:T6"/>
    <mergeCell ref="S7:S8"/>
    <mergeCell ref="T7:T8"/>
    <mergeCell ref="A25:C29"/>
    <mergeCell ref="A3:A11"/>
    <mergeCell ref="G13:G16"/>
    <mergeCell ref="B15:B16"/>
    <mergeCell ref="A19:C24"/>
    <mergeCell ref="F13:F14"/>
    <mergeCell ref="B9:B11"/>
    <mergeCell ref="B3:B5"/>
    <mergeCell ref="B6:B8"/>
  </mergeCells>
  <phoneticPr fontId="3"/>
  <pageMargins left="0.2" right="0.19" top="0.24" bottom="0.2" header="0.21" footer="0.2"/>
  <pageSetup paperSize="9" scale="81" orientation="landscape" r:id="rId1"/>
  <headerFooter alignWithMargins="0">
    <oddFooter>&amp;C&amp;"ＪＳゴシック,標準"&amp;14-P1-</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R45"/>
  <sheetViews>
    <sheetView topLeftCell="A19" zoomScale="90" zoomScaleNormal="90" workbookViewId="0">
      <selection activeCell="K23" sqref="K23:L31"/>
    </sheetView>
  </sheetViews>
  <sheetFormatPr defaultColWidth="16.81640625" defaultRowHeight="13"/>
  <cols>
    <col min="1" max="1" width="3.81640625" style="206" customWidth="1"/>
    <col min="2" max="2" width="2.453125" style="206" customWidth="1"/>
    <col min="3" max="3" width="16.81640625" style="206" customWidth="1"/>
    <col min="4" max="4" width="5.81640625" style="206" customWidth="1"/>
    <col min="5" max="5" width="1.453125" style="206" customWidth="1"/>
    <col min="6" max="6" width="12.453125" style="206" customWidth="1"/>
    <col min="7" max="7" width="15.08984375" style="206" customWidth="1"/>
    <col min="8" max="8" width="2.453125" style="206" customWidth="1"/>
    <col min="9" max="9" width="14.1796875" style="206" customWidth="1"/>
    <col min="10" max="10" width="5.81640625" style="206" customWidth="1"/>
    <col min="11" max="11" width="16.81640625" style="206" customWidth="1"/>
    <col min="12" max="12" width="12.453125" style="206" customWidth="1"/>
    <col min="13" max="13" width="2.453125" style="206" customWidth="1"/>
    <col min="14" max="14" width="16.81640625" style="206" customWidth="1"/>
    <col min="15" max="15" width="17.81640625" style="206" customWidth="1"/>
    <col min="16" max="16" width="1.81640625" style="206" customWidth="1"/>
    <col min="17" max="17" width="59.08984375" style="206" customWidth="1"/>
    <col min="18" max="18" width="86.81640625" style="206" customWidth="1"/>
    <col min="19" max="16384" width="16.81640625" style="206"/>
  </cols>
  <sheetData>
    <row r="1" spans="1:18" ht="18" customHeight="1">
      <c r="B1" s="229" t="s">
        <v>242</v>
      </c>
    </row>
    <row r="2" spans="1:18" ht="18" customHeight="1" thickBot="1">
      <c r="B2" s="206" t="s">
        <v>330</v>
      </c>
    </row>
    <row r="3" spans="1:18" ht="20.25" customHeight="1">
      <c r="A3" s="944" t="s">
        <v>329</v>
      </c>
      <c r="B3" s="228"/>
      <c r="C3" s="936" t="s">
        <v>328</v>
      </c>
      <c r="D3" s="937"/>
      <c r="E3" s="228"/>
      <c r="F3" s="940" t="s">
        <v>327</v>
      </c>
      <c r="G3" s="941"/>
      <c r="H3" s="228"/>
      <c r="I3" s="945" t="s">
        <v>326</v>
      </c>
      <c r="J3" s="945"/>
      <c r="K3" s="945"/>
      <c r="L3" s="946"/>
      <c r="M3" s="228"/>
      <c r="N3" s="904" t="s">
        <v>325</v>
      </c>
      <c r="O3" s="905"/>
      <c r="P3" s="227"/>
      <c r="Q3" s="899" t="s">
        <v>324</v>
      </c>
      <c r="R3" s="899" t="s">
        <v>323</v>
      </c>
    </row>
    <row r="4" spans="1:18" ht="20.25" customHeight="1" thickBot="1">
      <c r="A4" s="909"/>
      <c r="B4" s="208"/>
      <c r="C4" s="938"/>
      <c r="D4" s="939"/>
      <c r="E4" s="208"/>
      <c r="F4" s="942"/>
      <c r="G4" s="943"/>
      <c r="H4" s="208"/>
      <c r="I4" s="947"/>
      <c r="J4" s="947"/>
      <c r="K4" s="947"/>
      <c r="L4" s="948"/>
      <c r="M4" s="208"/>
      <c r="N4" s="906"/>
      <c r="O4" s="907"/>
      <c r="P4" s="227"/>
      <c r="Q4" s="900"/>
      <c r="R4" s="900"/>
    </row>
    <row r="5" spans="1:18" ht="13.5" customHeight="1">
      <c r="A5" s="908" t="s">
        <v>322</v>
      </c>
      <c r="B5" s="210" t="s">
        <v>237</v>
      </c>
      <c r="C5" s="221" t="s">
        <v>321</v>
      </c>
      <c r="E5" s="914"/>
      <c r="F5" s="915"/>
      <c r="G5" s="916"/>
      <c r="H5" s="210" t="s">
        <v>237</v>
      </c>
      <c r="I5" s="221" t="s">
        <v>265</v>
      </c>
      <c r="K5" s="925"/>
      <c r="L5" s="916"/>
      <c r="M5" s="212" t="s">
        <v>237</v>
      </c>
      <c r="N5" s="221" t="s">
        <v>320</v>
      </c>
      <c r="O5" s="226"/>
      <c r="Q5" s="223" t="s">
        <v>319</v>
      </c>
      <c r="R5" s="223" t="s">
        <v>318</v>
      </c>
    </row>
    <row r="6" spans="1:18" ht="13.5" customHeight="1">
      <c r="A6" s="909"/>
      <c r="B6" s="210" t="s">
        <v>237</v>
      </c>
      <c r="C6" s="221" t="s">
        <v>317</v>
      </c>
      <c r="E6" s="917"/>
      <c r="F6" s="918"/>
      <c r="G6" s="926"/>
      <c r="H6" s="210"/>
      <c r="I6" s="221" t="s">
        <v>261</v>
      </c>
      <c r="K6" s="949"/>
      <c r="L6" s="926"/>
      <c r="M6" s="210"/>
      <c r="N6" s="901" t="s">
        <v>243</v>
      </c>
      <c r="O6" s="902"/>
      <c r="P6" s="217"/>
      <c r="Q6" s="220" t="s">
        <v>316</v>
      </c>
      <c r="R6" s="220" t="s">
        <v>315</v>
      </c>
    </row>
    <row r="7" spans="1:18" ht="13.5" customHeight="1">
      <c r="A7" s="909"/>
      <c r="B7" s="210"/>
      <c r="C7" s="221" t="s">
        <v>271</v>
      </c>
      <c r="E7" s="917"/>
      <c r="F7" s="918"/>
      <c r="G7" s="926"/>
      <c r="H7" s="210" t="s">
        <v>237</v>
      </c>
      <c r="I7" s="221" t="s">
        <v>256</v>
      </c>
      <c r="K7" s="949"/>
      <c r="L7" s="926"/>
      <c r="M7" s="210"/>
      <c r="N7" s="903"/>
      <c r="O7" s="902"/>
      <c r="P7" s="217"/>
      <c r="Q7" s="225" t="s">
        <v>314</v>
      </c>
      <c r="R7" s="220" t="s">
        <v>313</v>
      </c>
    </row>
    <row r="8" spans="1:18" ht="13.5" customHeight="1">
      <c r="A8" s="909"/>
      <c r="B8" s="210" t="s">
        <v>237</v>
      </c>
      <c r="C8" s="221" t="s">
        <v>312</v>
      </c>
      <c r="E8" s="917"/>
      <c r="F8" s="918"/>
      <c r="G8" s="926"/>
      <c r="H8" s="210" t="s">
        <v>237</v>
      </c>
      <c r="I8" s="221" t="s">
        <v>252</v>
      </c>
      <c r="K8" s="949"/>
      <c r="L8" s="926"/>
      <c r="M8" s="210"/>
      <c r="N8" s="901" t="s">
        <v>243</v>
      </c>
      <c r="O8" s="902"/>
      <c r="P8" s="217"/>
      <c r="Q8" s="220" t="s">
        <v>311</v>
      </c>
      <c r="R8" s="220" t="s">
        <v>310</v>
      </c>
    </row>
    <row r="9" spans="1:18" ht="13.5" customHeight="1">
      <c r="A9" s="909"/>
      <c r="B9" s="210" t="s">
        <v>237</v>
      </c>
      <c r="C9" s="221" t="s">
        <v>300</v>
      </c>
      <c r="E9" s="917"/>
      <c r="F9" s="918"/>
      <c r="G9" s="926"/>
      <c r="H9" s="210" t="s">
        <v>237</v>
      </c>
      <c r="I9" s="221" t="s">
        <v>248</v>
      </c>
      <c r="K9" s="949"/>
      <c r="L9" s="926"/>
      <c r="M9" s="210"/>
      <c r="N9" s="903"/>
      <c r="O9" s="902"/>
      <c r="P9" s="217"/>
      <c r="Q9" s="220" t="s">
        <v>309</v>
      </c>
      <c r="R9" s="220" t="s">
        <v>308</v>
      </c>
    </row>
    <row r="10" spans="1:18" ht="13.5" customHeight="1">
      <c r="A10" s="909"/>
      <c r="B10" s="210" t="s">
        <v>237</v>
      </c>
      <c r="C10" s="221" t="s">
        <v>307</v>
      </c>
      <c r="E10" s="917"/>
      <c r="F10" s="918"/>
      <c r="G10" s="926"/>
      <c r="H10" s="210"/>
      <c r="I10" s="221" t="s">
        <v>246</v>
      </c>
      <c r="K10" s="949"/>
      <c r="L10" s="926"/>
      <c r="M10" s="210"/>
      <c r="N10" s="901" t="s">
        <v>243</v>
      </c>
      <c r="O10" s="902"/>
      <c r="P10" s="217"/>
      <c r="Q10" s="220"/>
      <c r="R10" s="220" t="s">
        <v>306</v>
      </c>
    </row>
    <row r="11" spans="1:18" ht="13.5" customHeight="1">
      <c r="A11" s="909"/>
      <c r="B11" s="210" t="s">
        <v>237</v>
      </c>
      <c r="C11" s="221" t="s">
        <v>305</v>
      </c>
      <c r="E11" s="917"/>
      <c r="F11" s="918"/>
      <c r="G11" s="926"/>
      <c r="H11" s="210" t="s">
        <v>237</v>
      </c>
      <c r="I11" s="221" t="s">
        <v>245</v>
      </c>
      <c r="K11" s="949"/>
      <c r="L11" s="926"/>
      <c r="M11" s="210"/>
      <c r="N11" s="903"/>
      <c r="O11" s="902"/>
      <c r="P11" s="217"/>
      <c r="Q11" s="220"/>
      <c r="R11" s="220"/>
    </row>
    <row r="12" spans="1:18" ht="13.5" customHeight="1" thickBot="1">
      <c r="A12" s="910"/>
      <c r="B12" s="211" t="s">
        <v>237</v>
      </c>
      <c r="C12" s="224" t="s">
        <v>244</v>
      </c>
      <c r="D12" s="207"/>
      <c r="E12" s="927"/>
      <c r="F12" s="928"/>
      <c r="G12" s="929"/>
      <c r="H12" s="211" t="s">
        <v>237</v>
      </c>
      <c r="I12" s="224" t="s">
        <v>244</v>
      </c>
      <c r="J12" s="207"/>
      <c r="K12" s="950"/>
      <c r="L12" s="929"/>
      <c r="M12" s="210"/>
      <c r="N12" s="901" t="s">
        <v>243</v>
      </c>
      <c r="O12" s="902"/>
      <c r="P12" s="217"/>
      <c r="Q12" s="216"/>
      <c r="R12" s="216"/>
    </row>
    <row r="13" spans="1:18" ht="13.5" customHeight="1">
      <c r="A13" s="908" t="s">
        <v>304</v>
      </c>
      <c r="B13" s="210" t="s">
        <v>237</v>
      </c>
      <c r="C13" s="221" t="s">
        <v>303</v>
      </c>
      <c r="E13" s="914"/>
      <c r="F13" s="915"/>
      <c r="G13" s="916"/>
      <c r="H13" s="210" t="s">
        <v>237</v>
      </c>
      <c r="I13" s="221" t="s">
        <v>265</v>
      </c>
      <c r="K13" s="930"/>
      <c r="L13" s="931"/>
      <c r="M13" s="210"/>
      <c r="N13" s="903"/>
      <c r="O13" s="902"/>
      <c r="P13" s="217"/>
      <c r="Q13" s="223" t="s">
        <v>302</v>
      </c>
      <c r="R13" s="223" t="s">
        <v>301</v>
      </c>
    </row>
    <row r="14" spans="1:18" ht="13.5" customHeight="1">
      <c r="A14" s="909"/>
      <c r="B14" s="210" t="s">
        <v>237</v>
      </c>
      <c r="C14" s="221" t="s">
        <v>300</v>
      </c>
      <c r="E14" s="917"/>
      <c r="F14" s="918"/>
      <c r="G14" s="926"/>
      <c r="H14" s="210"/>
      <c r="I14" s="221" t="s">
        <v>261</v>
      </c>
      <c r="K14" s="932"/>
      <c r="L14" s="933"/>
      <c r="M14" s="210"/>
      <c r="N14" s="901" t="s">
        <v>243</v>
      </c>
      <c r="O14" s="902"/>
      <c r="P14" s="217"/>
      <c r="Q14" s="220" t="s">
        <v>299</v>
      </c>
      <c r="R14" s="220" t="s">
        <v>298</v>
      </c>
    </row>
    <row r="15" spans="1:18">
      <c r="A15" s="909"/>
      <c r="B15" s="210" t="s">
        <v>237</v>
      </c>
      <c r="C15" s="221" t="s">
        <v>297</v>
      </c>
      <c r="E15" s="917"/>
      <c r="F15" s="918"/>
      <c r="G15" s="926"/>
      <c r="H15" s="210" t="s">
        <v>237</v>
      </c>
      <c r="I15" s="221" t="s">
        <v>256</v>
      </c>
      <c r="K15" s="932"/>
      <c r="L15" s="933"/>
      <c r="M15" s="210"/>
      <c r="N15" s="903"/>
      <c r="O15" s="902"/>
      <c r="P15" s="217"/>
      <c r="Q15" s="220" t="s">
        <v>296</v>
      </c>
      <c r="R15" s="220" t="s">
        <v>295</v>
      </c>
    </row>
    <row r="16" spans="1:18" ht="13.5" customHeight="1">
      <c r="A16" s="909"/>
      <c r="B16" s="210"/>
      <c r="C16" s="221" t="s">
        <v>271</v>
      </c>
      <c r="E16" s="917"/>
      <c r="F16" s="918"/>
      <c r="G16" s="926"/>
      <c r="H16" s="210" t="s">
        <v>237</v>
      </c>
      <c r="I16" s="221" t="s">
        <v>252</v>
      </c>
      <c r="K16" s="932"/>
      <c r="L16" s="933"/>
      <c r="M16" s="210" t="s">
        <v>237</v>
      </c>
      <c r="N16" s="221" t="s">
        <v>294</v>
      </c>
      <c r="O16" s="222"/>
      <c r="Q16" s="220" t="s">
        <v>293</v>
      </c>
      <c r="R16" s="220" t="s">
        <v>292</v>
      </c>
    </row>
    <row r="17" spans="1:18" ht="13.5" customHeight="1">
      <c r="A17" s="909"/>
      <c r="B17" s="210" t="s">
        <v>237</v>
      </c>
      <c r="C17" s="221" t="s">
        <v>291</v>
      </c>
      <c r="E17" s="917"/>
      <c r="F17" s="918"/>
      <c r="G17" s="926"/>
      <c r="H17" s="210" t="s">
        <v>237</v>
      </c>
      <c r="I17" s="221" t="s">
        <v>248</v>
      </c>
      <c r="K17" s="932"/>
      <c r="L17" s="933"/>
      <c r="M17" s="210"/>
      <c r="N17" s="901" t="s">
        <v>243</v>
      </c>
      <c r="O17" s="902"/>
      <c r="P17" s="217"/>
      <c r="Q17" s="220" t="s">
        <v>290</v>
      </c>
      <c r="R17" s="220" t="s">
        <v>289</v>
      </c>
    </row>
    <row r="18" spans="1:18" ht="13.5" customHeight="1">
      <c r="A18" s="909"/>
      <c r="B18" s="210" t="s">
        <v>237</v>
      </c>
      <c r="C18" s="221" t="s">
        <v>288</v>
      </c>
      <c r="E18" s="917"/>
      <c r="F18" s="918"/>
      <c r="G18" s="926"/>
      <c r="H18" s="210"/>
      <c r="I18" s="221" t="s">
        <v>246</v>
      </c>
      <c r="K18" s="932"/>
      <c r="L18" s="933"/>
      <c r="M18" s="210"/>
      <c r="N18" s="903"/>
      <c r="O18" s="902"/>
      <c r="P18" s="217"/>
      <c r="Q18" s="220"/>
      <c r="R18" s="220"/>
    </row>
    <row r="19" spans="1:18" ht="13.5" customHeight="1">
      <c r="A19" s="909"/>
      <c r="B19" s="210"/>
      <c r="C19" s="221" t="s">
        <v>287</v>
      </c>
      <c r="E19" s="917"/>
      <c r="F19" s="918"/>
      <c r="G19" s="926"/>
      <c r="H19" s="210" t="s">
        <v>237</v>
      </c>
      <c r="I19" s="221" t="s">
        <v>245</v>
      </c>
      <c r="K19" s="932"/>
      <c r="L19" s="933"/>
      <c r="M19" s="210"/>
      <c r="N19" s="901" t="s">
        <v>243</v>
      </c>
      <c r="O19" s="902"/>
      <c r="P19" s="217"/>
      <c r="Q19" s="220"/>
      <c r="R19" s="220"/>
    </row>
    <row r="20" spans="1:18" ht="13.5" customHeight="1">
      <c r="A20" s="909"/>
      <c r="B20" s="210" t="s">
        <v>237</v>
      </c>
      <c r="C20" s="221" t="s">
        <v>286</v>
      </c>
      <c r="E20" s="917"/>
      <c r="F20" s="918"/>
      <c r="G20" s="926"/>
      <c r="H20" s="210" t="s">
        <v>237</v>
      </c>
      <c r="I20" s="221" t="s">
        <v>244</v>
      </c>
      <c r="K20" s="932"/>
      <c r="L20" s="933"/>
      <c r="M20" s="210"/>
      <c r="N20" s="903"/>
      <c r="O20" s="902"/>
      <c r="P20" s="217"/>
      <c r="Q20" s="220"/>
      <c r="R20" s="220"/>
    </row>
    <row r="21" spans="1:18" ht="13.5" customHeight="1">
      <c r="A21" s="909"/>
      <c r="B21" s="210" t="s">
        <v>237</v>
      </c>
      <c r="C21" s="221" t="s">
        <v>285</v>
      </c>
      <c r="E21" s="917"/>
      <c r="F21" s="918"/>
      <c r="G21" s="926"/>
      <c r="H21" s="210"/>
      <c r="I21" s="221"/>
      <c r="K21" s="932"/>
      <c r="L21" s="933"/>
      <c r="M21" s="210"/>
      <c r="N21" s="901" t="s">
        <v>243</v>
      </c>
      <c r="O21" s="902"/>
      <c r="P21" s="217"/>
      <c r="Q21" s="220"/>
      <c r="R21" s="220"/>
    </row>
    <row r="22" spans="1:18" ht="13.5" thickBot="1">
      <c r="A22" s="910"/>
      <c r="B22" s="211" t="s">
        <v>237</v>
      </c>
      <c r="C22" s="224" t="s">
        <v>244</v>
      </c>
      <c r="D22" s="207"/>
      <c r="E22" s="927"/>
      <c r="F22" s="928"/>
      <c r="G22" s="929"/>
      <c r="H22" s="211"/>
      <c r="I22" s="224"/>
      <c r="J22" s="207"/>
      <c r="K22" s="934"/>
      <c r="L22" s="935"/>
      <c r="M22" s="210"/>
      <c r="N22" s="903"/>
      <c r="O22" s="902"/>
      <c r="P22" s="217"/>
      <c r="Q22" s="216"/>
      <c r="R22" s="216"/>
    </row>
    <row r="23" spans="1:18" ht="13.5" customHeight="1">
      <c r="A23" s="908" t="s">
        <v>284</v>
      </c>
      <c r="B23" s="210" t="s">
        <v>237</v>
      </c>
      <c r="C23" s="221" t="s">
        <v>283</v>
      </c>
      <c r="E23" s="914"/>
      <c r="F23" s="915"/>
      <c r="G23" s="916"/>
      <c r="H23" s="210" t="s">
        <v>237</v>
      </c>
      <c r="I23" s="221" t="s">
        <v>265</v>
      </c>
      <c r="K23" s="930"/>
      <c r="L23" s="931"/>
      <c r="M23" s="210" t="s">
        <v>237</v>
      </c>
      <c r="N23" s="221" t="s">
        <v>282</v>
      </c>
      <c r="O23" s="222"/>
      <c r="Q23" s="223" t="s">
        <v>281</v>
      </c>
      <c r="R23" s="223" t="s">
        <v>280</v>
      </c>
    </row>
    <row r="24" spans="1:18" ht="13.5" customHeight="1">
      <c r="A24" s="909"/>
      <c r="B24" s="210" t="s">
        <v>237</v>
      </c>
      <c r="C24" s="221" t="s">
        <v>279</v>
      </c>
      <c r="E24" s="917"/>
      <c r="F24" s="918"/>
      <c r="G24" s="926"/>
      <c r="H24" s="210"/>
      <c r="I24" s="221" t="s">
        <v>261</v>
      </c>
      <c r="K24" s="932"/>
      <c r="L24" s="933"/>
      <c r="M24" s="210"/>
      <c r="N24" s="901" t="s">
        <v>243</v>
      </c>
      <c r="O24" s="902"/>
      <c r="P24" s="217"/>
      <c r="Q24" s="220" t="s">
        <v>278</v>
      </c>
      <c r="R24" s="220" t="s">
        <v>277</v>
      </c>
    </row>
    <row r="25" spans="1:18" ht="13.5" customHeight="1">
      <c r="A25" s="909"/>
      <c r="B25" s="210" t="s">
        <v>237</v>
      </c>
      <c r="C25" s="221" t="s">
        <v>276</v>
      </c>
      <c r="E25" s="917"/>
      <c r="F25" s="918"/>
      <c r="G25" s="926"/>
      <c r="H25" s="210" t="s">
        <v>237</v>
      </c>
      <c r="I25" s="221" t="s">
        <v>256</v>
      </c>
      <c r="K25" s="932"/>
      <c r="L25" s="933"/>
      <c r="M25" s="210"/>
      <c r="N25" s="903"/>
      <c r="O25" s="902"/>
      <c r="P25" s="217"/>
      <c r="Q25" s="220" t="s">
        <v>275</v>
      </c>
      <c r="R25" s="220" t="s">
        <v>274</v>
      </c>
    </row>
    <row r="26" spans="1:18" ht="13.5" customHeight="1">
      <c r="A26" s="909"/>
      <c r="B26" s="210" t="s">
        <v>237</v>
      </c>
      <c r="C26" s="221" t="s">
        <v>273</v>
      </c>
      <c r="E26" s="917"/>
      <c r="F26" s="918"/>
      <c r="G26" s="926"/>
      <c r="H26" s="210" t="s">
        <v>237</v>
      </c>
      <c r="I26" s="221" t="s">
        <v>252</v>
      </c>
      <c r="K26" s="932"/>
      <c r="L26" s="933"/>
      <c r="M26" s="210"/>
      <c r="N26" s="901" t="s">
        <v>243</v>
      </c>
      <c r="O26" s="902"/>
      <c r="P26" s="217"/>
      <c r="Q26" s="220"/>
      <c r="R26" s="220"/>
    </row>
    <row r="27" spans="1:18">
      <c r="A27" s="909"/>
      <c r="B27" s="210" t="s">
        <v>237</v>
      </c>
      <c r="C27" s="221" t="s">
        <v>272</v>
      </c>
      <c r="E27" s="917"/>
      <c r="F27" s="918"/>
      <c r="G27" s="926"/>
      <c r="H27" s="210" t="s">
        <v>237</v>
      </c>
      <c r="I27" s="221" t="s">
        <v>248</v>
      </c>
      <c r="K27" s="932"/>
      <c r="L27" s="933"/>
      <c r="M27" s="210"/>
      <c r="N27" s="903"/>
      <c r="O27" s="902"/>
      <c r="P27" s="217"/>
      <c r="Q27" s="220"/>
      <c r="R27" s="220"/>
    </row>
    <row r="28" spans="1:18" ht="13.5" customHeight="1">
      <c r="A28" s="909"/>
      <c r="B28" s="210"/>
      <c r="C28" s="221" t="s">
        <v>271</v>
      </c>
      <c r="E28" s="917"/>
      <c r="F28" s="918"/>
      <c r="G28" s="926"/>
      <c r="H28" s="210"/>
      <c r="I28" s="221" t="s">
        <v>246</v>
      </c>
      <c r="K28" s="932"/>
      <c r="L28" s="933"/>
      <c r="M28" s="210" t="s">
        <v>237</v>
      </c>
      <c r="N28" s="221" t="s">
        <v>270</v>
      </c>
      <c r="O28" s="222"/>
      <c r="Q28" s="220"/>
      <c r="R28" s="220"/>
    </row>
    <row r="29" spans="1:18" ht="13.5" customHeight="1">
      <c r="A29" s="909"/>
      <c r="B29" s="210" t="s">
        <v>237</v>
      </c>
      <c r="C29" s="221" t="s">
        <v>269</v>
      </c>
      <c r="E29" s="917"/>
      <c r="F29" s="918"/>
      <c r="G29" s="926"/>
      <c r="H29" s="210" t="s">
        <v>237</v>
      </c>
      <c r="I29" s="221" t="s">
        <v>245</v>
      </c>
      <c r="K29" s="932"/>
      <c r="L29" s="933"/>
      <c r="M29" s="210"/>
      <c r="N29" s="901" t="s">
        <v>243</v>
      </c>
      <c r="O29" s="902"/>
      <c r="P29" s="217"/>
      <c r="Q29" s="220"/>
      <c r="R29" s="220"/>
    </row>
    <row r="30" spans="1:18" ht="13.5" customHeight="1">
      <c r="A30" s="909"/>
      <c r="B30" s="210"/>
      <c r="C30" s="221" t="s">
        <v>268</v>
      </c>
      <c r="E30" s="917"/>
      <c r="F30" s="918"/>
      <c r="G30" s="926"/>
      <c r="H30" s="210" t="s">
        <v>237</v>
      </c>
      <c r="I30" s="221" t="s">
        <v>244</v>
      </c>
      <c r="K30" s="932"/>
      <c r="L30" s="933"/>
      <c r="M30" s="210"/>
      <c r="N30" s="903"/>
      <c r="O30" s="902"/>
      <c r="P30" s="217"/>
      <c r="Q30" s="220"/>
      <c r="R30" s="220"/>
    </row>
    <row r="31" spans="1:18" ht="13.5" customHeight="1" thickBot="1">
      <c r="A31" s="910"/>
      <c r="B31" s="211" t="s">
        <v>237</v>
      </c>
      <c r="C31" s="224" t="s">
        <v>244</v>
      </c>
      <c r="D31" s="207"/>
      <c r="E31" s="927"/>
      <c r="F31" s="928"/>
      <c r="G31" s="929"/>
      <c r="H31" s="211"/>
      <c r="I31" s="224"/>
      <c r="J31" s="207"/>
      <c r="K31" s="934"/>
      <c r="L31" s="935"/>
      <c r="M31" s="210"/>
      <c r="N31" s="901" t="s">
        <v>243</v>
      </c>
      <c r="O31" s="902"/>
      <c r="P31" s="217"/>
      <c r="Q31" s="216"/>
      <c r="R31" s="216"/>
    </row>
    <row r="32" spans="1:18" ht="13.5" customHeight="1">
      <c r="A32" s="908" t="s">
        <v>267</v>
      </c>
      <c r="B32" s="210" t="s">
        <v>237</v>
      </c>
      <c r="C32" s="206" t="s">
        <v>266</v>
      </c>
      <c r="E32" s="914"/>
      <c r="F32" s="915"/>
      <c r="G32" s="916"/>
      <c r="H32" s="210" t="s">
        <v>237</v>
      </c>
      <c r="I32" s="221" t="s">
        <v>265</v>
      </c>
      <c r="K32" s="925"/>
      <c r="L32" s="916"/>
      <c r="M32" s="210"/>
      <c r="N32" s="903"/>
      <c r="O32" s="902"/>
      <c r="P32" s="217"/>
      <c r="Q32" s="223" t="s">
        <v>264</v>
      </c>
      <c r="R32" s="223" t="s">
        <v>263</v>
      </c>
    </row>
    <row r="33" spans="1:18" ht="13.5" customHeight="1">
      <c r="A33" s="909"/>
      <c r="B33" s="210" t="s">
        <v>237</v>
      </c>
      <c r="C33" s="206" t="s">
        <v>262</v>
      </c>
      <c r="E33" s="917"/>
      <c r="F33" s="918"/>
      <c r="G33" s="919"/>
      <c r="H33" s="210"/>
      <c r="I33" s="221" t="s">
        <v>261</v>
      </c>
      <c r="K33" s="923"/>
      <c r="L33" s="919"/>
      <c r="M33" s="210" t="s">
        <v>237</v>
      </c>
      <c r="N33" s="221" t="s">
        <v>260</v>
      </c>
      <c r="O33" s="222"/>
      <c r="Q33" s="220" t="s">
        <v>259</v>
      </c>
      <c r="R33" s="220" t="s">
        <v>258</v>
      </c>
    </row>
    <row r="34" spans="1:18" ht="13.5" customHeight="1">
      <c r="A34" s="909"/>
      <c r="B34" s="210" t="s">
        <v>237</v>
      </c>
      <c r="C34" s="206" t="s">
        <v>257</v>
      </c>
      <c r="E34" s="917"/>
      <c r="F34" s="918"/>
      <c r="G34" s="919"/>
      <c r="H34" s="210" t="s">
        <v>237</v>
      </c>
      <c r="I34" s="221" t="s">
        <v>256</v>
      </c>
      <c r="K34" s="923"/>
      <c r="L34" s="919"/>
      <c r="M34" s="210"/>
      <c r="N34" s="901" t="s">
        <v>243</v>
      </c>
      <c r="O34" s="902"/>
      <c r="P34" s="217"/>
      <c r="Q34" s="220" t="s">
        <v>255</v>
      </c>
      <c r="R34" s="220" t="s">
        <v>254</v>
      </c>
    </row>
    <row r="35" spans="1:18" ht="13.5" customHeight="1">
      <c r="A35" s="909"/>
      <c r="B35" s="210" t="s">
        <v>237</v>
      </c>
      <c r="C35" s="206" t="s">
        <v>253</v>
      </c>
      <c r="E35" s="917"/>
      <c r="F35" s="918"/>
      <c r="G35" s="919"/>
      <c r="H35" s="210" t="s">
        <v>237</v>
      </c>
      <c r="I35" s="221" t="s">
        <v>252</v>
      </c>
      <c r="K35" s="923"/>
      <c r="L35" s="919"/>
      <c r="M35" s="210"/>
      <c r="N35" s="903"/>
      <c r="O35" s="902"/>
      <c r="P35" s="217"/>
      <c r="Q35" s="220" t="s">
        <v>251</v>
      </c>
      <c r="R35" s="220" t="s">
        <v>250</v>
      </c>
    </row>
    <row r="36" spans="1:18" ht="13.5" customHeight="1">
      <c r="A36" s="909"/>
      <c r="B36" s="210" t="s">
        <v>237</v>
      </c>
      <c r="C36" s="206" t="s">
        <v>249</v>
      </c>
      <c r="E36" s="917"/>
      <c r="F36" s="918"/>
      <c r="G36" s="919"/>
      <c r="H36" s="210" t="s">
        <v>237</v>
      </c>
      <c r="I36" s="221" t="s">
        <v>248</v>
      </c>
      <c r="K36" s="923"/>
      <c r="L36" s="919"/>
      <c r="M36" s="210"/>
      <c r="N36" s="901" t="s">
        <v>243</v>
      </c>
      <c r="O36" s="902"/>
      <c r="P36" s="217"/>
      <c r="Q36" s="220"/>
      <c r="R36" s="220"/>
    </row>
    <row r="37" spans="1:18">
      <c r="A37" s="909"/>
      <c r="B37" s="210" t="s">
        <v>237</v>
      </c>
      <c r="C37" s="206" t="s">
        <v>247</v>
      </c>
      <c r="E37" s="917"/>
      <c r="F37" s="918"/>
      <c r="G37" s="919"/>
      <c r="H37" s="210"/>
      <c r="I37" s="221" t="s">
        <v>246</v>
      </c>
      <c r="K37" s="923"/>
      <c r="L37" s="919"/>
      <c r="M37" s="210"/>
      <c r="N37" s="903"/>
      <c r="O37" s="902"/>
      <c r="P37" s="217"/>
      <c r="Q37" s="220"/>
      <c r="R37" s="220"/>
    </row>
    <row r="38" spans="1:18" ht="13.5" customHeight="1">
      <c r="A38" s="909"/>
      <c r="B38" s="209"/>
      <c r="E38" s="917"/>
      <c r="F38" s="918"/>
      <c r="G38" s="919"/>
      <c r="H38" s="210" t="s">
        <v>237</v>
      </c>
      <c r="I38" s="221" t="s">
        <v>245</v>
      </c>
      <c r="K38" s="923"/>
      <c r="L38" s="919"/>
      <c r="M38" s="210" t="s">
        <v>237</v>
      </c>
      <c r="N38" s="221" t="s">
        <v>238</v>
      </c>
      <c r="O38" s="222"/>
      <c r="Q38" s="220"/>
      <c r="R38" s="220"/>
    </row>
    <row r="39" spans="1:18" ht="13.5" customHeight="1">
      <c r="A39" s="909"/>
      <c r="B39" s="209"/>
      <c r="E39" s="917"/>
      <c r="F39" s="918"/>
      <c r="G39" s="919"/>
      <c r="H39" s="210" t="s">
        <v>237</v>
      </c>
      <c r="I39" s="221" t="s">
        <v>244</v>
      </c>
      <c r="K39" s="923"/>
      <c r="L39" s="919"/>
      <c r="M39" s="210"/>
      <c r="N39" s="901" t="s">
        <v>243</v>
      </c>
      <c r="O39" s="902"/>
      <c r="P39" s="217"/>
      <c r="Q39" s="220"/>
      <c r="R39" s="220"/>
    </row>
    <row r="40" spans="1:18" ht="13.5" customHeight="1">
      <c r="A40" s="909"/>
      <c r="B40" s="209"/>
      <c r="E40" s="917"/>
      <c r="F40" s="918"/>
      <c r="G40" s="919"/>
      <c r="H40" s="209"/>
      <c r="K40" s="923"/>
      <c r="L40" s="919"/>
      <c r="M40" s="210"/>
      <c r="N40" s="903"/>
      <c r="O40" s="902"/>
      <c r="P40" s="217"/>
      <c r="Q40" s="220"/>
      <c r="R40" s="220"/>
    </row>
    <row r="41" spans="1:18" ht="13.5" customHeight="1">
      <c r="A41" s="909"/>
      <c r="B41" s="209"/>
      <c r="E41" s="917"/>
      <c r="F41" s="918"/>
      <c r="G41" s="919"/>
      <c r="H41" s="209"/>
      <c r="K41" s="923"/>
      <c r="L41" s="919"/>
      <c r="M41" s="209"/>
      <c r="N41" s="901" t="s">
        <v>243</v>
      </c>
      <c r="O41" s="902"/>
      <c r="P41" s="217"/>
      <c r="Q41" s="220"/>
      <c r="R41" s="220"/>
    </row>
    <row r="42" spans="1:18" ht="13.5" customHeight="1">
      <c r="A42" s="909"/>
      <c r="B42" s="209"/>
      <c r="E42" s="917"/>
      <c r="F42" s="918"/>
      <c r="G42" s="919"/>
      <c r="H42" s="209"/>
      <c r="K42" s="923"/>
      <c r="L42" s="919"/>
      <c r="M42" s="209"/>
      <c r="N42" s="903"/>
      <c r="O42" s="902"/>
      <c r="P42" s="217"/>
      <c r="Q42" s="220"/>
      <c r="R42" s="220"/>
    </row>
    <row r="43" spans="1:18" ht="13.5" customHeight="1">
      <c r="A43" s="909"/>
      <c r="B43" s="209"/>
      <c r="E43" s="917"/>
      <c r="F43" s="918"/>
      <c r="G43" s="919"/>
      <c r="H43" s="209"/>
      <c r="K43" s="923"/>
      <c r="L43" s="919"/>
      <c r="M43" s="209"/>
      <c r="N43" s="901" t="s">
        <v>243</v>
      </c>
      <c r="O43" s="902"/>
      <c r="P43" s="217"/>
      <c r="Q43" s="220"/>
      <c r="R43" s="220"/>
    </row>
    <row r="44" spans="1:18" ht="13.5" customHeight="1" thickBot="1">
      <c r="A44" s="911"/>
      <c r="B44" s="218"/>
      <c r="C44" s="219"/>
      <c r="D44" s="219"/>
      <c r="E44" s="920"/>
      <c r="F44" s="921"/>
      <c r="G44" s="922"/>
      <c r="H44" s="218"/>
      <c r="I44" s="219"/>
      <c r="J44" s="219"/>
      <c r="K44" s="924"/>
      <c r="L44" s="922"/>
      <c r="M44" s="218"/>
      <c r="N44" s="912"/>
      <c r="O44" s="913"/>
      <c r="P44" s="217"/>
      <c r="Q44" s="216"/>
      <c r="R44" s="216"/>
    </row>
    <row r="45" spans="1:18" ht="19">
      <c r="M45" s="215"/>
      <c r="N45" s="214"/>
      <c r="O45" s="214"/>
      <c r="P45" s="213"/>
    </row>
  </sheetData>
  <mergeCells count="38">
    <mergeCell ref="E23:G31"/>
    <mergeCell ref="K23:L31"/>
    <mergeCell ref="C3:D4"/>
    <mergeCell ref="F3:G4"/>
    <mergeCell ref="A3:A4"/>
    <mergeCell ref="I3:L4"/>
    <mergeCell ref="E5:G12"/>
    <mergeCell ref="K5:L12"/>
    <mergeCell ref="E13:G22"/>
    <mergeCell ref="K13:L22"/>
    <mergeCell ref="N29:O30"/>
    <mergeCell ref="N31:O32"/>
    <mergeCell ref="N12:O13"/>
    <mergeCell ref="N34:O35"/>
    <mergeCell ref="N14:O15"/>
    <mergeCell ref="N17:O18"/>
    <mergeCell ref="N36:O37"/>
    <mergeCell ref="A5:A12"/>
    <mergeCell ref="A13:A22"/>
    <mergeCell ref="A23:A31"/>
    <mergeCell ref="A32:A44"/>
    <mergeCell ref="N39:O40"/>
    <mergeCell ref="N41:O42"/>
    <mergeCell ref="N43:O44"/>
    <mergeCell ref="N24:O25"/>
    <mergeCell ref="N26:O27"/>
    <mergeCell ref="N19:O20"/>
    <mergeCell ref="N21:O22"/>
    <mergeCell ref="E32:G37"/>
    <mergeCell ref="E38:G44"/>
    <mergeCell ref="K38:L44"/>
    <mergeCell ref="K32:L37"/>
    <mergeCell ref="R3:R4"/>
    <mergeCell ref="Q3:Q4"/>
    <mergeCell ref="N6:O7"/>
    <mergeCell ref="N8:O9"/>
    <mergeCell ref="N10:O11"/>
    <mergeCell ref="N3:O4"/>
  </mergeCells>
  <phoneticPr fontId="3"/>
  <dataValidations count="2">
    <dataValidation type="list" allowBlank="1" showInputMessage="1" showErrorMessage="1" sqref="K32" xr:uid="{00000000-0002-0000-0C00-000000000000}">
      <formula1>$R$32:$R$35</formula1>
    </dataValidation>
    <dataValidation type="list" allowBlank="1" showInputMessage="1" showErrorMessage="1" sqref="E32" xr:uid="{00000000-0002-0000-0C00-000001000000}">
      <formula1>$Q$32:$Q$35</formula1>
    </dataValidation>
  </dataValidations>
  <pageMargins left="0.28999999999999998" right="0.19685039370078741" top="0.2" bottom="0.19685039370078741" header="0.19685039370078741" footer="0.19685039370078741"/>
  <pageSetup paperSize="9" scale="99" orientation="landscape" r:id="rId1"/>
  <headerFooter alignWithMargins="0">
    <oddFooter>&amp;C&amp;"ＪＳゴシック,標準"-P2-</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4A57-E24F-4576-8611-23364F140B6C}">
  <dimension ref="A1"/>
  <sheetViews>
    <sheetView workbookViewId="0"/>
  </sheetViews>
  <sheetFormatPr defaultRowHeight="13"/>
  <sheetData/>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基本情報</vt:lpstr>
      <vt:lpstr>原価</vt:lpstr>
      <vt:lpstr>原価内訳書</vt:lpstr>
      <vt:lpstr>商品リスト</vt:lpstr>
      <vt:lpstr>お客様提示用見積書表紙</vt:lpstr>
      <vt:lpstr>お客様提示用内訳書</vt:lpstr>
      <vt:lpstr>写真貼付台紙</vt:lpstr>
      <vt:lpstr>申請用図面</vt:lpstr>
      <vt:lpstr>支給申請書</vt:lpstr>
      <vt:lpstr>完了届出書（受領委任用)</vt:lpstr>
      <vt:lpstr>同意書</vt:lpstr>
      <vt:lpstr>承諾書</vt:lpstr>
      <vt:lpstr>理由書1</vt:lpstr>
      <vt:lpstr>理由書2</vt:lpstr>
      <vt:lpstr>Sheet1</vt:lpstr>
      <vt:lpstr>お客様提示用見積書表紙!Print_Area</vt:lpstr>
      <vt:lpstr>お客様提示用内訳書!Print_Area</vt:lpstr>
      <vt:lpstr>'完了届出書（受領委任用)'!Print_Area</vt:lpstr>
      <vt:lpstr>原価!Print_Area</vt:lpstr>
      <vt:lpstr>原価内訳書!Print_Area</vt:lpstr>
      <vt:lpstr>支給申請書!Print_Area</vt:lpstr>
      <vt:lpstr>写真貼付台紙!Print_Area</vt:lpstr>
      <vt:lpstr>申請用図面!Print_Area</vt:lpstr>
      <vt:lpstr>理由書2!Print_Area</vt:lpstr>
      <vt:lpstr>お客様提示用内訳書!Print_Titles</vt:lpstr>
      <vt:lpstr>原価内訳書!Print_Titles</vt:lpstr>
      <vt:lpstr>品番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北九州市</dc:creator>
  <cp:lastModifiedBy>高広 有薗</cp:lastModifiedBy>
  <cp:lastPrinted>2025-02-15T07:30:42Z</cp:lastPrinted>
  <dcterms:created xsi:type="dcterms:W3CDTF">2006-03-02T09:49:51Z</dcterms:created>
  <dcterms:modified xsi:type="dcterms:W3CDTF">2026-07-06T02:28:13Z</dcterms:modified>
</cp:coreProperties>
</file>